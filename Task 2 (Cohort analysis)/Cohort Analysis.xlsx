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\Downloads\"/>
    </mc:Choice>
  </mc:AlternateContent>
  <xr:revisionPtr revIDLastSave="0" documentId="13_ncr:1_{37BF9E61-7288-47EF-871E-22E11F7DE8F8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Active users" sheetId="1" r:id="rId1"/>
    <sheet name="Users Retention Rate" sheetId="2" r:id="rId2"/>
    <sheet name="Emails sent" sheetId="3" r:id="rId3"/>
    <sheet name="Emails clicks" sheetId="4" r:id="rId4"/>
    <sheet name="results_1" sheetId="6" r:id="rId5"/>
    <sheet name="results_2-4" sheetId="7" r:id="rId6"/>
  </sheets>
  <calcPr calcId="191029"/>
</workbook>
</file>

<file path=xl/calcChain.xml><?xml version="1.0" encoding="utf-8"?>
<calcChain xmlns="http://schemas.openxmlformats.org/spreadsheetml/2006/main">
  <c r="J4" i="7" l="1"/>
  <c r="I4" i="7"/>
  <c r="C5" i="7"/>
  <c r="J3" i="7"/>
  <c r="I3" i="7"/>
  <c r="C1" i="7"/>
  <c r="J2" i="7"/>
  <c r="I2" i="7"/>
  <c r="K2" i="7" s="1"/>
  <c r="J4" i="6"/>
  <c r="K4" i="7" l="1"/>
  <c r="K3" i="7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C52" i="2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5" i="6"/>
  <c r="F5" i="6" s="1"/>
  <c r="A48" i="6"/>
  <c r="B48" i="6" s="1"/>
  <c r="A47" i="6"/>
  <c r="B47" i="6" s="1"/>
  <c r="A46" i="6"/>
  <c r="B46" i="6" s="1"/>
  <c r="A45" i="6"/>
  <c r="B45" i="6" s="1"/>
  <c r="A44" i="6"/>
  <c r="B44" i="6" s="1"/>
  <c r="A43" i="6"/>
  <c r="B43" i="6" s="1"/>
  <c r="A42" i="6"/>
  <c r="B42" i="6" s="1"/>
  <c r="A41" i="6"/>
  <c r="B41" i="6" s="1"/>
  <c r="A40" i="6"/>
  <c r="B40" i="6" s="1"/>
  <c r="A39" i="6"/>
  <c r="B39" i="6" s="1"/>
  <c r="A38" i="6"/>
  <c r="B38" i="6" s="1"/>
  <c r="A37" i="6"/>
  <c r="B37" i="6" s="1"/>
  <c r="A36" i="6"/>
  <c r="B36" i="6" s="1"/>
  <c r="A35" i="6"/>
  <c r="B35" i="6" s="1"/>
  <c r="A34" i="6"/>
  <c r="B34" i="6" s="1"/>
  <c r="A33" i="6"/>
  <c r="B33" i="6" s="1"/>
  <c r="A32" i="6"/>
  <c r="B32" i="6" s="1"/>
  <c r="A31" i="6"/>
  <c r="B31" i="6" s="1"/>
  <c r="A30" i="6"/>
  <c r="B30" i="6" s="1"/>
  <c r="A29" i="6"/>
  <c r="B29" i="6" s="1"/>
  <c r="A28" i="6"/>
  <c r="B28" i="6" s="1"/>
  <c r="A27" i="6"/>
  <c r="B27" i="6" s="1"/>
  <c r="A26" i="6"/>
  <c r="B26" i="6" s="1"/>
  <c r="A25" i="6"/>
  <c r="B25" i="6" s="1"/>
  <c r="A24" i="6"/>
  <c r="B24" i="6" s="1"/>
  <c r="A23" i="6"/>
  <c r="B23" i="6" s="1"/>
  <c r="A22" i="6"/>
  <c r="B22" i="6" s="1"/>
  <c r="A21" i="6"/>
  <c r="B21" i="6" s="1"/>
  <c r="A20" i="6"/>
  <c r="B20" i="6" s="1"/>
  <c r="A19" i="6"/>
  <c r="B19" i="6" s="1"/>
  <c r="A18" i="6"/>
  <c r="B18" i="6" s="1"/>
  <c r="A17" i="6"/>
  <c r="B17" i="6" s="1"/>
  <c r="A16" i="6"/>
  <c r="B16" i="6" s="1"/>
  <c r="A15" i="6"/>
  <c r="B15" i="6" s="1"/>
  <c r="A14" i="6"/>
  <c r="B14" i="6" s="1"/>
  <c r="A13" i="6"/>
  <c r="B13" i="6" s="1"/>
  <c r="A12" i="6"/>
  <c r="B12" i="6" s="1"/>
  <c r="A11" i="6"/>
  <c r="B11" i="6" s="1"/>
  <c r="A10" i="6"/>
  <c r="B10" i="6" s="1"/>
  <c r="A9" i="6"/>
  <c r="B9" i="6" s="1"/>
  <c r="A8" i="6"/>
  <c r="B8" i="6" s="1"/>
  <c r="A7" i="6"/>
  <c r="B7" i="6" s="1"/>
  <c r="A6" i="6"/>
  <c r="B6" i="6" s="1"/>
  <c r="A5" i="6"/>
  <c r="B5" i="6" s="1"/>
  <c r="F50" i="6" l="1"/>
  <c r="B50" i="6"/>
</calcChain>
</file>

<file path=xl/sharedStrings.xml><?xml version="1.0" encoding="utf-8"?>
<sst xmlns="http://schemas.openxmlformats.org/spreadsheetml/2006/main" count="38" uniqueCount="30">
  <si>
    <t>Week №</t>
  </si>
  <si>
    <t>Active Users</t>
  </si>
  <si>
    <t>Installs</t>
  </si>
  <si>
    <t>Users Retention Rate</t>
  </si>
  <si>
    <t>Weeks Since Install</t>
  </si>
  <si>
    <t>Week of installs, №</t>
  </si>
  <si>
    <t>Number of installs</t>
  </si>
  <si>
    <t>Emails sent</t>
  </si>
  <si>
    <t>Emails sent:</t>
  </si>
  <si>
    <t>Emails clicks</t>
  </si>
  <si>
    <t>1. Скільки листів у середньому надіслано одному користувачу:</t>
  </si>
  <si>
    <t>а) за 3 місяці з моменту встановлення додатку?</t>
  </si>
  <si>
    <t>Сума листів за 12 тижнів</t>
  </si>
  <si>
    <t>Середня кількість листів на користувача</t>
  </si>
  <si>
    <t>Середня кількість листів за 3 місяці</t>
  </si>
  <si>
    <t>б) за 6 місяців з моменту встановлення додатку?</t>
  </si>
  <si>
    <t>Сума листів за 24 тижні</t>
  </si>
  <si>
    <t>Середня кількість листів за 6 місяців</t>
  </si>
  <si>
    <t>в) за 1 рік з моменту встановлення додатку?</t>
  </si>
  <si>
    <t>Середня кількість листів за 1 рік</t>
  </si>
  <si>
    <t>2. Скільки в середньому "живе" один користувач додатку?</t>
  </si>
  <si>
    <t>Середній Retention для кожного тижня</t>
  </si>
  <si>
    <t>3. Виходячи з ціни за відправку листа в $0.1, скільки коштує утримання користувача за допомогою email розсилки впродовж одного року?</t>
  </si>
  <si>
    <t>4. Який середній CTR впродовж року для користувачів, які зареєструвались у проміжок:</t>
  </si>
  <si>
    <t>а) з 17 по 20 тиждень?</t>
  </si>
  <si>
    <t>Сума кліків</t>
  </si>
  <si>
    <t>Кількість надісланих листів</t>
  </si>
  <si>
    <t>Середній CTR</t>
  </si>
  <si>
    <t>б) з 21 по 24 тиждень?</t>
  </si>
  <si>
    <t>в) з 25 по 28 тиждень?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</si>
</sst>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#,##0.00\ &quot;₴&quot;"/>
  </numFmts>
  <fonts count="7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9"/>
      </right>
      <top/>
      <bottom style="thin">
        <color indexed="64"/>
      </bottom>
      <diagonal/>
    </border>
    <border>
      <left style="thin">
        <color theme="9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4" fontId="2" fillId="0" borderId="0" xfId="0" applyNumberFormat="1" applyFont="1" applyAlignment="1">
      <alignment horizontal="center"/>
    </xf>
    <xf numFmtId="10" fontId="2" fillId="0" borderId="0" xfId="0" applyNumberFormat="1" applyFont="1"/>
    <xf numFmtId="9" fontId="2" fillId="0" borderId="0" xfId="0" applyNumberFormat="1" applyFont="1"/>
    <xf numFmtId="3" fontId="2" fillId="0" borderId="0" xfId="0" applyNumberFormat="1" applyFont="1" applyAlignment="1">
      <alignment horizontal="center"/>
    </xf>
    <xf numFmtId="0" fontId="4" fillId="0" borderId="0" xfId="0" applyFont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10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/>
    <xf numFmtId="0" fontId="5" fillId="0" borderId="0" xfId="0" applyFont="1" applyAlignment="1">
      <alignment horizontal="center" vertical="center" wrapText="1"/>
    </xf>
    <xf numFmtId="3" fontId="0" fillId="0" borderId="1" xfId="0" applyNumberFormat="1" applyBorder="1"/>
    <xf numFmtId="1" fontId="0" fillId="0" borderId="1" xfId="0" applyNumberFormat="1" applyBorder="1"/>
    <xf numFmtId="0" fontId="5" fillId="0" borderId="2" xfId="0" applyFont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left" vertical="center" wrapText="1"/>
    </xf>
    <xf numFmtId="0" fontId="0" fillId="0" borderId="0" xfId="0" applyAlignment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5" fillId="3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0" fontId="5" fillId="3" borderId="0" xfId="0" applyNumberFormat="1" applyFont="1" applyFill="1" applyAlignment="1">
      <alignment vertical="center" wrapText="1"/>
    </xf>
    <xf numFmtId="2" fontId="5" fillId="3" borderId="0" xfId="1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</cellXfs>
  <cellStyles count="2">
    <cellStyle name="Відсотковий" xfId="1" builtinId="5"/>
    <cellStyle name="Звичайни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4" formatCode="0.00%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1" formatCode="0"/>
    </dxf>
    <dxf>
      <numFmt numFmtId="3" formatCode="#,##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" formatCode="0"/>
    </dxf>
    <dxf>
      <numFmt numFmtId="3" formatCode="#,##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BD582-67E5-4038-8A8D-097B26E88825}" name="Таблиця2" displayName="Таблиця2" ref="A4:B48" totalsRowShown="0" headerRowDxfId="8" headerRowBorderDxfId="11" tableBorderDxfId="12">
  <autoFilter ref="A4:B48" xr:uid="{D62BD582-67E5-4038-8A8D-097B26E88825}"/>
  <tableColumns count="2">
    <tableColumn id="1" xr3:uid="{3396D051-C230-45F2-A566-45240BEA9009}" name="Сума листів за 12 тижнів" dataDxfId="10">
      <calculatedColumnFormula>SUM('Emails sent'!C5:N5)</calculatedColumnFormula>
    </tableColumn>
    <tableColumn id="2" xr3:uid="{220E0C4D-443D-4536-A3B7-DFB1CFA125A7}" name="Середня кількість листів на користувача" dataDxfId="9">
      <calculatedColumnFormula>A5/'Emails sent'!B5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78697A-B631-4849-A303-0DE1FBAEC392}" name="Таблиця3" displayName="Таблиця3" ref="E4:F48" totalsRowShown="0" headerRowDxfId="3" headerRowBorderDxfId="6" tableBorderDxfId="7">
  <autoFilter ref="E4:F48" xr:uid="{2978697A-B631-4849-A303-0DE1FBAEC392}"/>
  <tableColumns count="2">
    <tableColumn id="1" xr3:uid="{9076072C-8D22-4C56-948C-574B8560C072}" name="Сума листів за 24 тижні" dataDxfId="5">
      <calculatedColumnFormula>SUM('Emails sent'!C5:Z5)</calculatedColumnFormula>
    </tableColumn>
    <tableColumn id="2" xr3:uid="{26712B0A-B554-4A26-900D-11239275F0DD}" name="Середня кількість листів на користувача" dataDxfId="4">
      <calculatedColumnFormula>E5/'Emails sent'!B5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74E5CA-3BFF-4CEB-80AF-3849290836CA}" name="Таблиця5" displayName="Таблиця5" ref="I1:K4" totalsRowShown="0">
  <autoFilter ref="I1:K4" xr:uid="{3474E5CA-3BFF-4CEB-80AF-3849290836CA}"/>
  <tableColumns count="3">
    <tableColumn id="1" xr3:uid="{56D98CED-34CA-4D47-B391-1FEFE63F42D0}" name="Сума кліків" dataDxfId="2"/>
    <tableColumn id="2" xr3:uid="{634AF0C5-BB9E-4362-8C6F-830F8F32FB4A}" name="Кількість надісланих листів" dataDxfId="1"/>
    <tableColumn id="3" xr3:uid="{CC5DDA17-7FE5-4B28-A654-D0B831FB1C57}" name="Середній CTR" dataDxfId="0" dataCellStyle="Відсотковий">
      <calculatedColumnFormula>I2/J2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activeCell="F14" sqref="F14"/>
    </sheetView>
  </sheetViews>
  <sheetFormatPr defaultColWidth="12.6328125" defaultRowHeight="15.75" customHeight="1" x14ac:dyDescent="0.25"/>
  <cols>
    <col min="1" max="26" width="12.6328125" customWidth="1"/>
  </cols>
  <sheetData>
    <row r="1" spans="1:3" ht="15.75" customHeight="1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>
        <v>44</v>
      </c>
      <c r="B2" s="2">
        <v>290532</v>
      </c>
      <c r="C2" s="2">
        <v>23612</v>
      </c>
    </row>
    <row r="3" spans="1:3" ht="15.75" customHeight="1" x14ac:dyDescent="0.25">
      <c r="A3" s="2">
        <v>43</v>
      </c>
      <c r="B3" s="2">
        <v>291486</v>
      </c>
      <c r="C3" s="2">
        <v>24301</v>
      </c>
    </row>
    <row r="4" spans="1:3" ht="15.75" customHeight="1" x14ac:dyDescent="0.25">
      <c r="A4" s="2">
        <v>42</v>
      </c>
      <c r="B4" s="2">
        <v>286578</v>
      </c>
      <c r="C4" s="2">
        <v>24460</v>
      </c>
    </row>
    <row r="5" spans="1:3" ht="15.75" customHeight="1" x14ac:dyDescent="0.25">
      <c r="A5" s="2">
        <v>41</v>
      </c>
      <c r="B5" s="2">
        <v>287257</v>
      </c>
      <c r="C5" s="2">
        <v>24277</v>
      </c>
    </row>
    <row r="6" spans="1:3" ht="15.75" customHeight="1" x14ac:dyDescent="0.25">
      <c r="A6" s="2">
        <v>40</v>
      </c>
      <c r="B6" s="2">
        <v>290068</v>
      </c>
      <c r="C6" s="2">
        <v>25293</v>
      </c>
    </row>
    <row r="7" spans="1:3" ht="15.75" customHeight="1" x14ac:dyDescent="0.25">
      <c r="A7" s="2">
        <v>39</v>
      </c>
      <c r="B7" s="2">
        <v>293688</v>
      </c>
      <c r="C7" s="2">
        <v>29262</v>
      </c>
    </row>
    <row r="8" spans="1:3" ht="15.75" customHeight="1" x14ac:dyDescent="0.25">
      <c r="A8" s="2">
        <v>38</v>
      </c>
      <c r="B8" s="2">
        <v>290579</v>
      </c>
      <c r="C8" s="2">
        <v>28848</v>
      </c>
    </row>
    <row r="9" spans="1:3" ht="15.75" customHeight="1" x14ac:dyDescent="0.25">
      <c r="A9" s="2">
        <v>37</v>
      </c>
      <c r="B9" s="2">
        <v>287348</v>
      </c>
      <c r="C9" s="2">
        <v>28741</v>
      </c>
    </row>
    <row r="10" spans="1:3" ht="15.75" customHeight="1" x14ac:dyDescent="0.25">
      <c r="A10" s="2">
        <v>36</v>
      </c>
      <c r="B10" s="2">
        <v>276711</v>
      </c>
      <c r="C10" s="2">
        <v>22074</v>
      </c>
    </row>
    <row r="11" spans="1:3" ht="15.75" customHeight="1" x14ac:dyDescent="0.25">
      <c r="A11" s="2">
        <v>35</v>
      </c>
      <c r="B11" s="2">
        <v>280392</v>
      </c>
      <c r="C11" s="2">
        <v>24252</v>
      </c>
    </row>
    <row r="12" spans="1:3" ht="15.75" customHeight="1" x14ac:dyDescent="0.25">
      <c r="A12" s="2">
        <v>34</v>
      </c>
      <c r="B12" s="2">
        <v>281868</v>
      </c>
      <c r="C12" s="2">
        <v>28525</v>
      </c>
    </row>
    <row r="13" spans="1:3" ht="15.75" customHeight="1" x14ac:dyDescent="0.25">
      <c r="A13" s="2">
        <v>33</v>
      </c>
      <c r="B13" s="2">
        <v>273532</v>
      </c>
      <c r="C13" s="2">
        <v>30221</v>
      </c>
    </row>
    <row r="14" spans="1:3" ht="15.75" customHeight="1" x14ac:dyDescent="0.25">
      <c r="A14" s="2">
        <v>32</v>
      </c>
      <c r="B14" s="2">
        <v>263353</v>
      </c>
      <c r="C14" s="2">
        <v>26927</v>
      </c>
    </row>
    <row r="15" spans="1:3" ht="15.75" customHeight="1" x14ac:dyDescent="0.25">
      <c r="A15" s="2">
        <v>31</v>
      </c>
      <c r="B15" s="2">
        <v>254670</v>
      </c>
      <c r="C15" s="2">
        <v>26498</v>
      </c>
    </row>
    <row r="16" spans="1:3" ht="15.75" customHeight="1" x14ac:dyDescent="0.25">
      <c r="A16" s="2">
        <v>30</v>
      </c>
      <c r="B16" s="2">
        <v>247428</v>
      </c>
      <c r="C16" s="2">
        <v>27814</v>
      </c>
    </row>
    <row r="17" spans="1:3" ht="15.75" customHeight="1" x14ac:dyDescent="0.25">
      <c r="A17" s="2">
        <v>29</v>
      </c>
      <c r="B17" s="2">
        <v>239906</v>
      </c>
      <c r="C17" s="2">
        <v>27664</v>
      </c>
    </row>
    <row r="18" spans="1:3" ht="15.75" customHeight="1" x14ac:dyDescent="0.25">
      <c r="A18" s="2">
        <v>28</v>
      </c>
      <c r="B18" s="2">
        <v>223426</v>
      </c>
      <c r="C18" s="2">
        <v>26366</v>
      </c>
    </row>
    <row r="19" spans="1:3" ht="15.75" customHeight="1" x14ac:dyDescent="0.25">
      <c r="A19" s="2">
        <v>27</v>
      </c>
      <c r="B19" s="2">
        <v>222133</v>
      </c>
      <c r="C19" s="2">
        <v>26140</v>
      </c>
    </row>
    <row r="20" spans="1:3" ht="15.75" customHeight="1" x14ac:dyDescent="0.25">
      <c r="A20" s="2">
        <v>26</v>
      </c>
      <c r="B20" s="2">
        <v>222738</v>
      </c>
      <c r="C20" s="2">
        <v>28800</v>
      </c>
    </row>
    <row r="21" spans="1:3" ht="15.75" customHeight="1" x14ac:dyDescent="0.25">
      <c r="A21" s="2">
        <v>25</v>
      </c>
      <c r="B21" s="2">
        <v>221556</v>
      </c>
      <c r="C21" s="2">
        <v>31688</v>
      </c>
    </row>
    <row r="22" spans="1:3" ht="12.5" x14ac:dyDescent="0.25">
      <c r="A22" s="2">
        <v>24</v>
      </c>
      <c r="B22" s="2">
        <v>209092</v>
      </c>
      <c r="C22" s="2">
        <v>30330</v>
      </c>
    </row>
    <row r="23" spans="1:3" ht="12.5" x14ac:dyDescent="0.25">
      <c r="A23" s="2">
        <v>23</v>
      </c>
      <c r="B23" s="2">
        <v>197678</v>
      </c>
      <c r="C23" s="2">
        <v>24364</v>
      </c>
    </row>
    <row r="24" spans="1:3" ht="12.5" x14ac:dyDescent="0.25">
      <c r="A24" s="2">
        <v>22</v>
      </c>
      <c r="B24" s="2">
        <v>188171</v>
      </c>
      <c r="C24" s="2">
        <v>21213</v>
      </c>
    </row>
    <row r="25" spans="1:3" ht="12.5" x14ac:dyDescent="0.25">
      <c r="A25" s="2">
        <v>21</v>
      </c>
      <c r="B25" s="2">
        <v>184931</v>
      </c>
      <c r="C25" s="2">
        <v>24263</v>
      </c>
    </row>
    <row r="26" spans="1:3" ht="12.5" x14ac:dyDescent="0.25">
      <c r="A26" s="2">
        <v>20</v>
      </c>
      <c r="B26" s="2">
        <v>177063</v>
      </c>
      <c r="C26" s="2">
        <v>24753</v>
      </c>
    </row>
    <row r="27" spans="1:3" ht="12.5" x14ac:dyDescent="0.25">
      <c r="A27" s="2">
        <v>19</v>
      </c>
      <c r="B27" s="2">
        <v>165820</v>
      </c>
      <c r="C27" s="2">
        <v>18337</v>
      </c>
    </row>
    <row r="28" spans="1:3" ht="12.5" x14ac:dyDescent="0.25">
      <c r="A28" s="2">
        <v>18</v>
      </c>
      <c r="B28" s="2">
        <v>155808</v>
      </c>
      <c r="C28" s="2">
        <v>14603</v>
      </c>
    </row>
    <row r="29" spans="1:3" ht="12.5" x14ac:dyDescent="0.25">
      <c r="A29" s="2">
        <v>17</v>
      </c>
      <c r="B29" s="2">
        <v>149274</v>
      </c>
      <c r="C29" s="2">
        <v>14565</v>
      </c>
    </row>
    <row r="30" spans="1:3" ht="12.5" x14ac:dyDescent="0.25">
      <c r="A30" s="2">
        <v>16</v>
      </c>
      <c r="B30" s="2">
        <v>142782</v>
      </c>
      <c r="C30" s="2">
        <v>14336</v>
      </c>
    </row>
    <row r="31" spans="1:3" ht="12.5" x14ac:dyDescent="0.25">
      <c r="A31" s="2">
        <v>15</v>
      </c>
      <c r="B31" s="2">
        <v>136457</v>
      </c>
      <c r="C31" s="2">
        <v>27968</v>
      </c>
    </row>
    <row r="32" spans="1:3" ht="12.5" x14ac:dyDescent="0.25">
      <c r="A32" s="2">
        <v>14</v>
      </c>
      <c r="B32" s="2">
        <v>132616</v>
      </c>
      <c r="C32" s="2">
        <v>14311</v>
      </c>
    </row>
    <row r="33" spans="1:3" ht="12.5" x14ac:dyDescent="0.25">
      <c r="A33" s="2">
        <v>13</v>
      </c>
      <c r="B33" s="2">
        <v>128583</v>
      </c>
      <c r="C33" s="2">
        <v>11567</v>
      </c>
    </row>
    <row r="34" spans="1:3" ht="12.5" x14ac:dyDescent="0.25">
      <c r="A34" s="2">
        <v>12</v>
      </c>
      <c r="B34" s="2">
        <v>134965</v>
      </c>
      <c r="C34" s="2">
        <v>14362</v>
      </c>
    </row>
    <row r="35" spans="1:3" ht="12.5" x14ac:dyDescent="0.25">
      <c r="A35" s="2">
        <v>11</v>
      </c>
      <c r="B35" s="2">
        <v>142446</v>
      </c>
      <c r="C35" s="2">
        <v>18709</v>
      </c>
    </row>
    <row r="36" spans="1:3" ht="12.5" x14ac:dyDescent="0.25">
      <c r="A36" s="2">
        <v>10</v>
      </c>
      <c r="B36" s="2">
        <v>134198</v>
      </c>
      <c r="C36" s="2">
        <v>21946</v>
      </c>
    </row>
    <row r="37" spans="1:3" ht="12.5" x14ac:dyDescent="0.25">
      <c r="A37" s="2">
        <v>9</v>
      </c>
      <c r="B37" s="2">
        <v>116495</v>
      </c>
      <c r="C37" s="2">
        <v>13502</v>
      </c>
    </row>
    <row r="38" spans="1:3" ht="12.5" x14ac:dyDescent="0.25">
      <c r="A38" s="2">
        <v>8</v>
      </c>
      <c r="B38" s="2">
        <v>111561</v>
      </c>
      <c r="C38" s="2">
        <v>13102</v>
      </c>
    </row>
    <row r="39" spans="1:3" ht="12.5" x14ac:dyDescent="0.25">
      <c r="A39" s="2">
        <v>7</v>
      </c>
      <c r="B39" s="2">
        <v>107940</v>
      </c>
      <c r="C39" s="2">
        <v>13354</v>
      </c>
    </row>
    <row r="40" spans="1:3" ht="12.5" x14ac:dyDescent="0.25">
      <c r="A40" s="2">
        <v>6</v>
      </c>
      <c r="B40" s="2">
        <v>104104</v>
      </c>
      <c r="C40" s="2">
        <v>14051</v>
      </c>
    </row>
    <row r="41" spans="1:3" ht="12.5" x14ac:dyDescent="0.25">
      <c r="A41" s="2">
        <v>5</v>
      </c>
      <c r="B41" s="2">
        <v>102012</v>
      </c>
      <c r="C41" s="2">
        <v>17739</v>
      </c>
    </row>
    <row r="42" spans="1:3" ht="12.5" x14ac:dyDescent="0.25">
      <c r="A42" s="2">
        <v>4</v>
      </c>
      <c r="B42" s="2">
        <v>94725</v>
      </c>
      <c r="C42" s="2">
        <v>18451</v>
      </c>
    </row>
    <row r="43" spans="1:3" ht="12.5" x14ac:dyDescent="0.25">
      <c r="A43" s="2">
        <v>3</v>
      </c>
      <c r="B43" s="2">
        <v>85978</v>
      </c>
      <c r="C43" s="2">
        <v>17045</v>
      </c>
    </row>
    <row r="44" spans="1:3" ht="12.5" x14ac:dyDescent="0.25">
      <c r="A44" s="2">
        <v>2</v>
      </c>
      <c r="B44" s="2">
        <v>76343</v>
      </c>
      <c r="C44" s="2">
        <v>15828</v>
      </c>
    </row>
    <row r="45" spans="1:3" ht="12.5" x14ac:dyDescent="0.25">
      <c r="A45" s="2">
        <v>1</v>
      </c>
      <c r="B45" s="2">
        <v>69564</v>
      </c>
      <c r="C45" s="2">
        <v>18371</v>
      </c>
    </row>
    <row r="46" spans="1:3" ht="12.5" x14ac:dyDescent="0.25">
      <c r="A46" s="3"/>
      <c r="B46" s="2"/>
    </row>
    <row r="47" spans="1:3" ht="12.5" x14ac:dyDescent="0.25">
      <c r="A47" s="3"/>
      <c r="B47" s="2"/>
    </row>
    <row r="48" spans="1:3" ht="12.5" x14ac:dyDescent="0.25">
      <c r="A48" s="3"/>
      <c r="B48" s="2"/>
    </row>
    <row r="49" spans="1:2" ht="12.5" x14ac:dyDescent="0.25">
      <c r="A49" s="3"/>
      <c r="B49" s="2"/>
    </row>
    <row r="50" spans="1:2" ht="12.5" x14ac:dyDescent="0.25">
      <c r="A50" s="3"/>
      <c r="B50" s="2"/>
    </row>
    <row r="51" spans="1:2" ht="12.5" x14ac:dyDescent="0.25">
      <c r="A51" s="3"/>
      <c r="B51" s="2"/>
    </row>
    <row r="52" spans="1:2" ht="12.5" x14ac:dyDescent="0.25">
      <c r="A52" s="3"/>
      <c r="B52" s="2"/>
    </row>
    <row r="53" spans="1:2" ht="12.5" x14ac:dyDescent="0.25">
      <c r="A53" s="2"/>
      <c r="B53" s="2"/>
    </row>
    <row r="54" spans="1:2" ht="12.5" x14ac:dyDescent="0.25">
      <c r="A54" s="2"/>
      <c r="B54" s="2"/>
    </row>
    <row r="55" spans="1:2" ht="12.5" x14ac:dyDescent="0.25">
      <c r="A55" s="2"/>
      <c r="B55" s="2"/>
    </row>
    <row r="56" spans="1:2" ht="12.5" x14ac:dyDescent="0.25">
      <c r="A56" s="2"/>
      <c r="B56" s="2"/>
    </row>
    <row r="57" spans="1:2" ht="12.5" x14ac:dyDescent="0.25"/>
    <row r="58" spans="1:2" ht="12.5" x14ac:dyDescent="0.25"/>
    <row r="59" spans="1:2" ht="12.5" x14ac:dyDescent="0.25"/>
    <row r="60" spans="1:2" ht="12.5" x14ac:dyDescent="0.25"/>
    <row r="61" spans="1:2" ht="12.5" x14ac:dyDescent="0.25"/>
    <row r="62" spans="1:2" ht="12.5" x14ac:dyDescent="0.25"/>
    <row r="63" spans="1:2" ht="12.5" x14ac:dyDescent="0.25"/>
    <row r="64" spans="1:2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00"/>
  <sheetViews>
    <sheetView topLeftCell="A34" workbookViewId="0">
      <selection activeCell="F55" sqref="F55"/>
    </sheetView>
  </sheetViews>
  <sheetFormatPr defaultColWidth="10.08984375" defaultRowHeight="15.75" customHeight="1" x14ac:dyDescent="0.25"/>
  <sheetData>
    <row r="1" spans="1:46" ht="15.75" customHeight="1" x14ac:dyDescent="0.5">
      <c r="A1" s="4" t="s">
        <v>3</v>
      </c>
      <c r="B1" s="2"/>
      <c r="C1" s="16"/>
      <c r="D1" s="17"/>
      <c r="E1" s="17"/>
      <c r="F1" s="17"/>
    </row>
    <row r="2" spans="1:46" ht="15.75" customHeight="1" x14ac:dyDescent="0.25">
      <c r="A2" s="5"/>
      <c r="B2" s="5" t="s">
        <v>4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6">
        <v>32</v>
      </c>
      <c r="AI2" s="6">
        <v>33</v>
      </c>
      <c r="AJ2" s="6">
        <v>34</v>
      </c>
      <c r="AK2" s="6">
        <v>35</v>
      </c>
      <c r="AL2" s="6">
        <v>36</v>
      </c>
      <c r="AM2" s="6">
        <v>37</v>
      </c>
      <c r="AN2" s="6">
        <v>38</v>
      </c>
      <c r="AO2" s="6">
        <v>39</v>
      </c>
      <c r="AP2" s="6">
        <v>40</v>
      </c>
      <c r="AQ2" s="6">
        <v>41</v>
      </c>
      <c r="AR2" s="6">
        <v>42</v>
      </c>
      <c r="AS2" s="6">
        <v>43</v>
      </c>
      <c r="AT2" s="6">
        <v>44</v>
      </c>
    </row>
    <row r="3" spans="1:46" ht="15.75" customHeight="1" x14ac:dyDescent="0.25">
      <c r="A3" s="7"/>
      <c r="B3" s="2"/>
    </row>
    <row r="4" spans="1:46" ht="15.75" customHeight="1" x14ac:dyDescent="0.25">
      <c r="A4" s="2" t="s">
        <v>5</v>
      </c>
      <c r="B4" s="2" t="s">
        <v>6</v>
      </c>
      <c r="C4" s="8"/>
    </row>
    <row r="5" spans="1:46" ht="15.75" customHeight="1" x14ac:dyDescent="0.25">
      <c r="A5" s="2">
        <v>44</v>
      </c>
      <c r="B5" s="2">
        <v>23612</v>
      </c>
      <c r="C5" s="8">
        <v>0.51990000000000003</v>
      </c>
      <c r="D5" s="8"/>
    </row>
    <row r="6" spans="1:46" ht="15.75" customHeight="1" x14ac:dyDescent="0.25">
      <c r="A6" s="2">
        <v>43</v>
      </c>
      <c r="B6" s="2">
        <v>24301</v>
      </c>
      <c r="C6" s="8">
        <v>0.55859999999999999</v>
      </c>
      <c r="D6" s="8">
        <v>0.44469999999999998</v>
      </c>
      <c r="E6" s="8"/>
    </row>
    <row r="7" spans="1:46" ht="15.75" customHeight="1" x14ac:dyDescent="0.25">
      <c r="A7" s="2">
        <v>42</v>
      </c>
      <c r="B7" s="2">
        <v>24460</v>
      </c>
      <c r="C7" s="8">
        <v>0.53939999999999999</v>
      </c>
      <c r="D7" s="8">
        <v>0.47260000000000002</v>
      </c>
      <c r="E7" s="8">
        <v>0.38829999999999998</v>
      </c>
      <c r="F7" s="8"/>
    </row>
    <row r="8" spans="1:46" ht="15.75" customHeight="1" x14ac:dyDescent="0.25">
      <c r="A8" s="2">
        <v>41</v>
      </c>
      <c r="B8" s="2">
        <v>24277</v>
      </c>
      <c r="C8" s="8">
        <v>0.52769999999999995</v>
      </c>
      <c r="D8" s="8">
        <v>0.45879999999999999</v>
      </c>
      <c r="E8" s="9">
        <v>0.42</v>
      </c>
      <c r="F8" s="8">
        <v>0.35039999999999999</v>
      </c>
      <c r="G8" s="8"/>
    </row>
    <row r="9" spans="1:46" ht="15.75" customHeight="1" x14ac:dyDescent="0.25">
      <c r="A9" s="2">
        <v>40</v>
      </c>
      <c r="B9" s="2">
        <v>25293</v>
      </c>
      <c r="C9" s="8">
        <v>0.51849999999999996</v>
      </c>
      <c r="D9" s="8">
        <v>0.45150000000000001</v>
      </c>
      <c r="E9" s="8">
        <v>0.40849999999999997</v>
      </c>
      <c r="F9" s="8">
        <v>0.3881</v>
      </c>
      <c r="G9" s="8">
        <v>0.31659999999999999</v>
      </c>
      <c r="H9" s="8"/>
    </row>
    <row r="10" spans="1:46" ht="15.75" customHeight="1" x14ac:dyDescent="0.25">
      <c r="A10" s="2">
        <v>39</v>
      </c>
      <c r="B10" s="2">
        <v>29262</v>
      </c>
      <c r="C10" s="8">
        <v>0.55100000000000005</v>
      </c>
      <c r="D10" s="8">
        <v>0.47210000000000002</v>
      </c>
      <c r="E10" s="8">
        <v>0.42459999999999998</v>
      </c>
      <c r="F10" s="8">
        <v>0.39410000000000001</v>
      </c>
      <c r="G10" s="8">
        <v>0.36899999999999999</v>
      </c>
      <c r="H10" s="8">
        <v>0.30969999999999998</v>
      </c>
      <c r="I10" s="8"/>
    </row>
    <row r="11" spans="1:46" ht="15.75" customHeight="1" x14ac:dyDescent="0.25">
      <c r="A11" s="2">
        <v>38</v>
      </c>
      <c r="B11" s="2">
        <v>28848</v>
      </c>
      <c r="C11" s="8">
        <v>0.5524</v>
      </c>
      <c r="D11" s="8">
        <v>0.47539999999999999</v>
      </c>
      <c r="E11" s="8">
        <v>0.4234</v>
      </c>
      <c r="F11" s="8">
        <v>0.3921</v>
      </c>
      <c r="G11" s="8">
        <v>0.36009999999999998</v>
      </c>
      <c r="H11" s="8">
        <v>0.3407</v>
      </c>
      <c r="I11" s="8">
        <v>0.28939999999999999</v>
      </c>
      <c r="J11" s="8"/>
    </row>
    <row r="12" spans="1:46" ht="15.75" customHeight="1" x14ac:dyDescent="0.25">
      <c r="A12" s="2">
        <v>37</v>
      </c>
      <c r="B12" s="2">
        <v>28741</v>
      </c>
      <c r="C12" s="8">
        <v>0.45140000000000002</v>
      </c>
      <c r="D12" s="8">
        <v>0.38179999999999997</v>
      </c>
      <c r="E12" s="8">
        <v>0.34549999999999997</v>
      </c>
      <c r="F12" s="8">
        <v>0.31340000000000001</v>
      </c>
      <c r="G12" s="8">
        <v>0.28649999999999998</v>
      </c>
      <c r="H12" s="8">
        <v>0.26079999999999998</v>
      </c>
      <c r="I12" s="8">
        <v>0.25280000000000002</v>
      </c>
      <c r="J12" s="8">
        <v>0.20699999999999999</v>
      </c>
      <c r="K12" s="8"/>
    </row>
    <row r="13" spans="1:46" ht="15.75" customHeight="1" x14ac:dyDescent="0.25">
      <c r="A13" s="2">
        <v>36</v>
      </c>
      <c r="B13" s="2">
        <v>22074</v>
      </c>
      <c r="C13" s="8">
        <v>0.51419999999999999</v>
      </c>
      <c r="D13" s="8">
        <v>0.44729999999999998</v>
      </c>
      <c r="E13" s="8">
        <v>0.4032</v>
      </c>
      <c r="F13" s="8">
        <v>0.37980000000000003</v>
      </c>
      <c r="G13" s="8">
        <v>0.33850000000000002</v>
      </c>
      <c r="H13" s="8">
        <v>0.31690000000000002</v>
      </c>
      <c r="I13" s="8">
        <v>0.29699999999999999</v>
      </c>
      <c r="J13" s="8">
        <v>0.28100000000000003</v>
      </c>
      <c r="K13" s="8">
        <v>0.2427</v>
      </c>
      <c r="L13" s="8"/>
    </row>
    <row r="14" spans="1:46" ht="15.75" customHeight="1" x14ac:dyDescent="0.25">
      <c r="A14" s="2">
        <v>35</v>
      </c>
      <c r="B14" s="2">
        <v>24252</v>
      </c>
      <c r="C14" s="8">
        <v>0.56720000000000004</v>
      </c>
      <c r="D14" s="8">
        <v>0.50280000000000002</v>
      </c>
      <c r="E14" s="8">
        <v>0.45689999999999997</v>
      </c>
      <c r="F14" s="8">
        <v>0.4279</v>
      </c>
      <c r="G14" s="8">
        <v>0.38679999999999998</v>
      </c>
      <c r="H14" s="8">
        <v>0.35980000000000001</v>
      </c>
      <c r="I14" s="8">
        <v>0.34079999999999999</v>
      </c>
      <c r="J14" s="8">
        <v>0.32290000000000002</v>
      </c>
      <c r="K14" s="8">
        <v>0.30930000000000002</v>
      </c>
      <c r="L14" s="8">
        <v>0.26529999999999998</v>
      </c>
      <c r="M14" s="8"/>
    </row>
    <row r="15" spans="1:46" ht="15.75" customHeight="1" x14ac:dyDescent="0.25">
      <c r="A15" s="2">
        <v>34</v>
      </c>
      <c r="B15" s="2">
        <v>28525</v>
      </c>
      <c r="C15" s="8">
        <v>0.5887</v>
      </c>
      <c r="D15" s="8">
        <v>0.52290000000000003</v>
      </c>
      <c r="E15" s="8">
        <v>0.48230000000000001</v>
      </c>
      <c r="F15" s="8">
        <v>0.4531</v>
      </c>
      <c r="G15" s="8">
        <v>0.41760000000000003</v>
      </c>
      <c r="H15" s="8">
        <v>0.38829999999999998</v>
      </c>
      <c r="I15" s="8">
        <v>0.35980000000000001</v>
      </c>
      <c r="J15" s="8">
        <v>0.34510000000000002</v>
      </c>
      <c r="K15" s="8">
        <v>0.3301</v>
      </c>
      <c r="L15" s="8">
        <v>0.31509999999999999</v>
      </c>
      <c r="M15" s="8">
        <v>0.27639999999999998</v>
      </c>
      <c r="N15" s="8"/>
    </row>
    <row r="16" spans="1:46" ht="15.75" customHeight="1" x14ac:dyDescent="0.25">
      <c r="A16" s="2">
        <v>33</v>
      </c>
      <c r="B16" s="2">
        <v>30221</v>
      </c>
      <c r="C16" s="8">
        <v>0.60509999999999997</v>
      </c>
      <c r="D16" s="8">
        <v>0.5333</v>
      </c>
      <c r="E16" s="8">
        <v>0.49049999999999999</v>
      </c>
      <c r="F16" s="8">
        <v>0.46839999999999998</v>
      </c>
      <c r="G16" s="8">
        <v>0.43809999999999999</v>
      </c>
      <c r="H16" s="8">
        <v>0.40860000000000002</v>
      </c>
      <c r="I16" s="8">
        <v>0.38269999999999998</v>
      </c>
      <c r="J16" s="8">
        <v>0.35920000000000002</v>
      </c>
      <c r="K16" s="9">
        <v>0.34</v>
      </c>
      <c r="L16" s="8">
        <v>0.3231</v>
      </c>
      <c r="M16" s="8">
        <v>0.314</v>
      </c>
      <c r="N16" s="8">
        <v>0.27289999999999998</v>
      </c>
      <c r="O16" s="8"/>
    </row>
    <row r="17" spans="1:31" ht="15.75" customHeight="1" x14ac:dyDescent="0.25">
      <c r="A17" s="2">
        <v>32</v>
      </c>
      <c r="B17" s="2">
        <v>26927</v>
      </c>
      <c r="C17" s="8">
        <v>0.58679999999999999</v>
      </c>
      <c r="D17" s="8">
        <v>0.52239999999999998</v>
      </c>
      <c r="E17" s="8">
        <v>0.48399999999999999</v>
      </c>
      <c r="F17" s="8">
        <v>0.45550000000000002</v>
      </c>
      <c r="G17" s="8">
        <v>0.42799999999999999</v>
      </c>
      <c r="H17" s="8">
        <v>0.39979999999999999</v>
      </c>
      <c r="I17" s="8">
        <v>0.38269999999999998</v>
      </c>
      <c r="J17" s="8">
        <v>0.3533</v>
      </c>
      <c r="K17" s="8">
        <v>0.33229999999999998</v>
      </c>
      <c r="L17" s="8">
        <v>0.31919999999999998</v>
      </c>
      <c r="M17" s="8">
        <v>0.30170000000000002</v>
      </c>
      <c r="N17" s="8">
        <v>0.2908</v>
      </c>
      <c r="O17" s="8">
        <v>0.25280000000000002</v>
      </c>
      <c r="P17" s="8"/>
    </row>
    <row r="18" spans="1:31" ht="15.75" customHeight="1" x14ac:dyDescent="0.25">
      <c r="A18" s="2">
        <v>31</v>
      </c>
      <c r="B18" s="2">
        <v>26498</v>
      </c>
      <c r="C18" s="8">
        <v>0.57340000000000002</v>
      </c>
      <c r="D18" s="8">
        <v>0.52080000000000004</v>
      </c>
      <c r="E18" s="8">
        <v>0.48110000000000003</v>
      </c>
      <c r="F18" s="8">
        <v>0.44979999999999998</v>
      </c>
      <c r="G18" s="8">
        <v>0.42120000000000002</v>
      </c>
      <c r="H18" s="8">
        <v>0.39960000000000001</v>
      </c>
      <c r="I18" s="8">
        <v>0.38080000000000003</v>
      </c>
      <c r="J18" s="8">
        <v>0.36009999999999998</v>
      </c>
      <c r="K18" s="8">
        <v>0.33739999999999998</v>
      </c>
      <c r="L18" s="8">
        <v>0.31759999999999999</v>
      </c>
      <c r="M18" s="8">
        <v>0.30740000000000001</v>
      </c>
      <c r="N18" s="8">
        <v>0.29220000000000002</v>
      </c>
      <c r="O18" s="8">
        <v>0.28260000000000002</v>
      </c>
      <c r="P18" s="8">
        <v>0.2485</v>
      </c>
      <c r="Q18" s="8"/>
    </row>
    <row r="19" spans="1:31" ht="15.75" customHeight="1" x14ac:dyDescent="0.25">
      <c r="A19" s="2">
        <v>30</v>
      </c>
      <c r="B19" s="2">
        <v>27814</v>
      </c>
      <c r="C19" s="8">
        <v>0.55740000000000001</v>
      </c>
      <c r="D19" s="8">
        <v>0.50590000000000002</v>
      </c>
      <c r="E19" s="8">
        <v>0.47460000000000002</v>
      </c>
      <c r="F19" s="8">
        <v>0.45079999999999998</v>
      </c>
      <c r="G19" s="8">
        <v>0.41670000000000001</v>
      </c>
      <c r="H19" s="8">
        <v>0.39090000000000003</v>
      </c>
      <c r="I19" s="8">
        <v>0.37609999999999999</v>
      </c>
      <c r="J19" s="8">
        <v>0.3589</v>
      </c>
      <c r="K19" s="8">
        <v>0.34079999999999999</v>
      </c>
      <c r="L19" s="8">
        <v>0.32069999999999999</v>
      </c>
      <c r="M19" s="8">
        <v>0.3014</v>
      </c>
      <c r="N19" s="8">
        <v>0.28860000000000002</v>
      </c>
      <c r="O19" s="8">
        <v>0.2767</v>
      </c>
      <c r="P19" s="8">
        <v>0.26550000000000001</v>
      </c>
      <c r="Q19" s="8">
        <v>0.2344</v>
      </c>
      <c r="R19" s="8"/>
    </row>
    <row r="20" spans="1:31" ht="15.75" customHeight="1" x14ac:dyDescent="0.25">
      <c r="A20" s="2">
        <v>29</v>
      </c>
      <c r="B20" s="2">
        <v>27664</v>
      </c>
      <c r="C20" s="8">
        <v>0.5413</v>
      </c>
      <c r="D20" s="8">
        <v>0.49249999999999999</v>
      </c>
      <c r="E20" s="8">
        <v>0.4703</v>
      </c>
      <c r="F20" s="8">
        <v>0.4541</v>
      </c>
      <c r="G20" s="8">
        <v>0.4239</v>
      </c>
      <c r="H20" s="8">
        <v>0.39910000000000001</v>
      </c>
      <c r="I20" s="8">
        <v>0.378</v>
      </c>
      <c r="J20" s="8">
        <v>0.36459999999999998</v>
      </c>
      <c r="K20" s="8">
        <v>0.34589999999999999</v>
      </c>
      <c r="L20" s="8">
        <v>0.32529999999999998</v>
      </c>
      <c r="M20" s="8">
        <v>0.3145</v>
      </c>
      <c r="N20" s="8">
        <v>0.29480000000000001</v>
      </c>
      <c r="O20" s="8">
        <v>0.28289999999999998</v>
      </c>
      <c r="P20" s="8">
        <v>0.27210000000000001</v>
      </c>
      <c r="Q20" s="8">
        <v>0.26400000000000001</v>
      </c>
      <c r="R20" s="8">
        <v>0.22869999999999999</v>
      </c>
      <c r="S20" s="8"/>
    </row>
    <row r="21" spans="1:31" ht="15.75" customHeight="1" x14ac:dyDescent="0.25">
      <c r="A21" s="2">
        <v>28</v>
      </c>
      <c r="B21" s="2">
        <v>26366</v>
      </c>
      <c r="C21" s="8">
        <v>0.5071</v>
      </c>
      <c r="D21" s="8">
        <v>0.47939999999999999</v>
      </c>
      <c r="E21" s="8">
        <v>0.48049999999999998</v>
      </c>
      <c r="F21" s="8">
        <v>0.49669999999999997</v>
      </c>
      <c r="G21" s="8">
        <v>0.46189999999999998</v>
      </c>
      <c r="H21" s="8">
        <v>0.436</v>
      </c>
      <c r="I21" s="8">
        <v>0.40989999999999999</v>
      </c>
      <c r="J21" s="8">
        <v>0.39140000000000003</v>
      </c>
      <c r="K21" s="8">
        <v>0.37580000000000002</v>
      </c>
      <c r="L21" s="8">
        <v>0.35949999999999999</v>
      </c>
      <c r="M21" s="8">
        <v>0.34210000000000002</v>
      </c>
      <c r="N21" s="8">
        <v>0.3236</v>
      </c>
      <c r="O21" s="8">
        <v>0.30509999999999998</v>
      </c>
      <c r="P21" s="8">
        <v>0.29060000000000002</v>
      </c>
      <c r="Q21" s="8">
        <v>0.27989999999999998</v>
      </c>
      <c r="R21" s="8">
        <v>0.2712</v>
      </c>
      <c r="S21" s="8">
        <v>0.23749999999999999</v>
      </c>
      <c r="T21" s="8"/>
    </row>
    <row r="22" spans="1:31" ht="12.5" x14ac:dyDescent="0.25">
      <c r="A22" s="2">
        <v>27</v>
      </c>
      <c r="B22" s="2">
        <v>26140</v>
      </c>
      <c r="C22" s="8">
        <v>0.50409999999999999</v>
      </c>
      <c r="D22" s="9">
        <v>0.47</v>
      </c>
      <c r="E22" s="8">
        <v>0.46660000000000001</v>
      </c>
      <c r="F22" s="8">
        <v>0.47420000000000001</v>
      </c>
      <c r="G22" s="8">
        <v>0.44729999999999998</v>
      </c>
      <c r="H22" s="8">
        <v>0.42799999999999999</v>
      </c>
      <c r="I22" s="8">
        <v>0.40649999999999997</v>
      </c>
      <c r="J22" s="9">
        <v>0.38</v>
      </c>
      <c r="K22" s="8">
        <v>0.36109999999999998</v>
      </c>
      <c r="L22" s="8">
        <v>0.35360000000000003</v>
      </c>
      <c r="M22" s="8">
        <v>0.33800000000000002</v>
      </c>
      <c r="N22" s="8">
        <v>0.32219999999999999</v>
      </c>
      <c r="O22" s="8">
        <v>0.30449999999999999</v>
      </c>
      <c r="P22" s="8">
        <v>0.28949999999999998</v>
      </c>
      <c r="Q22" s="8">
        <v>0.27860000000000001</v>
      </c>
      <c r="R22" s="8">
        <v>0.26619999999999999</v>
      </c>
      <c r="S22" s="8">
        <v>0.25829999999999997</v>
      </c>
      <c r="T22" s="8">
        <v>0.22800000000000001</v>
      </c>
      <c r="U22" s="8"/>
    </row>
    <row r="23" spans="1:31" ht="12.5" x14ac:dyDescent="0.25">
      <c r="A23" s="2">
        <v>26</v>
      </c>
      <c r="B23" s="2">
        <v>28800</v>
      </c>
      <c r="C23" s="8">
        <v>0.41849999999999998</v>
      </c>
      <c r="D23" s="8">
        <v>0.39889999999999998</v>
      </c>
      <c r="E23" s="8">
        <v>0.41089999999999999</v>
      </c>
      <c r="F23" s="8">
        <v>0.41739999999999999</v>
      </c>
      <c r="G23" s="8">
        <v>0.39739999999999998</v>
      </c>
      <c r="H23" s="8">
        <v>0.3866</v>
      </c>
      <c r="I23" s="8">
        <v>0.37259999999999999</v>
      </c>
      <c r="J23" s="8">
        <v>0.3579</v>
      </c>
      <c r="K23" s="8">
        <v>0.34200000000000003</v>
      </c>
      <c r="L23" s="8">
        <v>0.3241</v>
      </c>
      <c r="M23" s="8">
        <v>0.31690000000000002</v>
      </c>
      <c r="N23" s="8">
        <v>0.30690000000000001</v>
      </c>
      <c r="O23" s="8">
        <v>0.29270000000000002</v>
      </c>
      <c r="P23" s="8">
        <v>0.27750000000000002</v>
      </c>
      <c r="Q23" s="8">
        <v>0.2596</v>
      </c>
      <c r="R23" s="8">
        <v>0.25309999999999999</v>
      </c>
      <c r="S23" s="8">
        <v>0.24299999999999999</v>
      </c>
      <c r="T23" s="8">
        <v>0.23300000000000001</v>
      </c>
      <c r="U23" s="8">
        <v>0.20899999999999999</v>
      </c>
      <c r="V23" s="8"/>
    </row>
    <row r="24" spans="1:31" ht="12.5" x14ac:dyDescent="0.25">
      <c r="A24" s="2">
        <v>25</v>
      </c>
      <c r="B24" s="2">
        <v>31688</v>
      </c>
      <c r="C24" s="8">
        <v>0.54339999999999999</v>
      </c>
      <c r="D24" s="8">
        <v>0.48759999999999998</v>
      </c>
      <c r="E24" s="8">
        <v>0.4713</v>
      </c>
      <c r="F24" s="8">
        <v>0.47589999999999999</v>
      </c>
      <c r="G24" s="8">
        <v>0.44529999999999997</v>
      </c>
      <c r="H24" s="8">
        <v>0.42620000000000002</v>
      </c>
      <c r="I24" s="8">
        <v>0.40870000000000001</v>
      </c>
      <c r="J24" s="8">
        <v>0.39410000000000001</v>
      </c>
      <c r="K24" s="8">
        <v>0.37690000000000001</v>
      </c>
      <c r="L24" s="8">
        <v>0.35930000000000001</v>
      </c>
      <c r="M24" s="8">
        <v>0.34260000000000002</v>
      </c>
      <c r="N24" s="8">
        <v>0.33179999999999998</v>
      </c>
      <c r="O24" s="8">
        <v>0.31979999999999997</v>
      </c>
      <c r="P24" s="8">
        <v>0.30609999999999998</v>
      </c>
      <c r="Q24" s="8">
        <v>0.2893</v>
      </c>
      <c r="R24" s="8">
        <v>0.27579999999999999</v>
      </c>
      <c r="S24" s="8">
        <v>0.26679999999999998</v>
      </c>
      <c r="T24" s="8">
        <v>0.25419999999999998</v>
      </c>
      <c r="U24" s="8">
        <v>0.25040000000000001</v>
      </c>
      <c r="V24" s="8">
        <v>0.21840000000000001</v>
      </c>
      <c r="W24" s="8"/>
    </row>
    <row r="25" spans="1:31" ht="12.5" x14ac:dyDescent="0.25">
      <c r="A25" s="2">
        <v>24</v>
      </c>
      <c r="B25" s="2">
        <v>30330</v>
      </c>
      <c r="C25" s="8">
        <v>0.58609999999999995</v>
      </c>
      <c r="D25" s="8">
        <v>0.51359999999999995</v>
      </c>
      <c r="E25" s="8">
        <v>0.48099999999999998</v>
      </c>
      <c r="F25" s="8">
        <v>0.47249999999999998</v>
      </c>
      <c r="G25" s="8">
        <v>0.4425</v>
      </c>
      <c r="H25" s="8">
        <v>0.42120000000000002</v>
      </c>
      <c r="I25" s="8">
        <v>0.40410000000000001</v>
      </c>
      <c r="J25" s="8">
        <v>0.38900000000000001</v>
      </c>
      <c r="K25" s="8">
        <v>0.37480000000000002</v>
      </c>
      <c r="L25" s="8">
        <v>0.35820000000000002</v>
      </c>
      <c r="M25" s="8">
        <v>0.33950000000000002</v>
      </c>
      <c r="N25" s="8">
        <v>0.32179999999999997</v>
      </c>
      <c r="O25" s="8">
        <v>0.32029999999999997</v>
      </c>
      <c r="P25" s="8">
        <v>0.30759999999999998</v>
      </c>
      <c r="Q25" s="8">
        <v>0.29189999999999999</v>
      </c>
      <c r="R25" s="8">
        <v>0.27479999999999999</v>
      </c>
      <c r="S25" s="8">
        <v>0.26279999999999998</v>
      </c>
      <c r="T25" s="8">
        <v>0.2525</v>
      </c>
      <c r="U25" s="8">
        <v>0.24399999999999999</v>
      </c>
      <c r="V25" s="8">
        <v>0.23960000000000001</v>
      </c>
      <c r="W25" s="8">
        <v>0.2099</v>
      </c>
      <c r="X25" s="8"/>
    </row>
    <row r="26" spans="1:31" ht="12.5" x14ac:dyDescent="0.25">
      <c r="A26" s="2">
        <v>23</v>
      </c>
      <c r="B26" s="2">
        <v>24364</v>
      </c>
      <c r="C26" s="8">
        <v>0.58499999999999996</v>
      </c>
      <c r="D26" s="8">
        <v>0.53269999999999995</v>
      </c>
      <c r="E26" s="8">
        <v>0.49320000000000003</v>
      </c>
      <c r="F26" s="8">
        <v>0.46539999999999998</v>
      </c>
      <c r="G26" s="8">
        <v>0.44130000000000003</v>
      </c>
      <c r="H26" s="8">
        <v>0.42380000000000001</v>
      </c>
      <c r="I26" s="8">
        <v>0.40429999999999999</v>
      </c>
      <c r="J26" s="8">
        <v>0.38679999999999998</v>
      </c>
      <c r="K26" s="8">
        <v>0.37409999999999999</v>
      </c>
      <c r="L26" s="8">
        <v>0.36049999999999999</v>
      </c>
      <c r="M26" s="8">
        <v>0.34360000000000002</v>
      </c>
      <c r="N26" s="8">
        <v>0.32429999999999998</v>
      </c>
      <c r="O26" s="8">
        <v>0.31280000000000002</v>
      </c>
      <c r="P26" s="8">
        <v>0.30609999999999998</v>
      </c>
      <c r="Q26" s="8">
        <v>0.29149999999999998</v>
      </c>
      <c r="R26" s="8">
        <v>0.2787</v>
      </c>
      <c r="S26" s="8">
        <v>0.26540000000000002</v>
      </c>
      <c r="T26" s="8">
        <v>0.25369999999999998</v>
      </c>
      <c r="U26" s="8">
        <v>0.24540000000000001</v>
      </c>
      <c r="V26" s="8">
        <v>0.23730000000000001</v>
      </c>
      <c r="W26" s="8">
        <v>0.2303</v>
      </c>
      <c r="X26" s="8">
        <v>0.20150000000000001</v>
      </c>
      <c r="Y26" s="8"/>
    </row>
    <row r="27" spans="1:31" ht="12.5" x14ac:dyDescent="0.25">
      <c r="A27" s="2">
        <v>22</v>
      </c>
      <c r="B27" s="2">
        <v>21213</v>
      </c>
      <c r="C27" s="8">
        <v>0.57099999999999995</v>
      </c>
      <c r="D27" s="8">
        <v>0.52590000000000003</v>
      </c>
      <c r="E27" s="8">
        <v>0.50170000000000003</v>
      </c>
      <c r="F27" s="8">
        <v>0.47410000000000002</v>
      </c>
      <c r="G27" s="8">
        <v>0.43780000000000002</v>
      </c>
      <c r="H27" s="8">
        <v>0.4254</v>
      </c>
      <c r="I27" s="8">
        <v>0.40410000000000001</v>
      </c>
      <c r="J27" s="8">
        <v>0.3826</v>
      </c>
      <c r="K27" s="8">
        <v>0.36799999999999999</v>
      </c>
      <c r="L27" s="8">
        <v>0.35899999999999999</v>
      </c>
      <c r="M27" s="8">
        <v>0.3458</v>
      </c>
      <c r="N27" s="8">
        <v>0.33179999999999998</v>
      </c>
      <c r="O27" s="8">
        <v>0.31040000000000001</v>
      </c>
      <c r="P27" s="8">
        <v>0.3044</v>
      </c>
      <c r="Q27" s="8">
        <v>0.29599999999999999</v>
      </c>
      <c r="R27" s="8">
        <v>0.28139999999999998</v>
      </c>
      <c r="S27" s="8">
        <v>0.27289999999999998</v>
      </c>
      <c r="T27" s="8">
        <v>0.25669999999999998</v>
      </c>
      <c r="U27" s="8">
        <v>0.2419</v>
      </c>
      <c r="V27" s="8">
        <v>0.23599999999999999</v>
      </c>
      <c r="W27" s="8">
        <v>0.22589999999999999</v>
      </c>
      <c r="X27" s="8">
        <v>0.223</v>
      </c>
      <c r="Y27" s="8">
        <v>0.19789999999999999</v>
      </c>
      <c r="Z27" s="8"/>
    </row>
    <row r="28" spans="1:31" ht="12.5" x14ac:dyDescent="0.25">
      <c r="A28" s="2">
        <v>21</v>
      </c>
      <c r="B28" s="2">
        <v>24263</v>
      </c>
      <c r="C28" s="8">
        <v>0.58260000000000001</v>
      </c>
      <c r="D28" s="8">
        <v>0.53490000000000004</v>
      </c>
      <c r="E28" s="8">
        <v>0.50990000000000002</v>
      </c>
      <c r="F28" s="8">
        <v>0.48859999999999998</v>
      </c>
      <c r="G28" s="8">
        <v>0.44790000000000002</v>
      </c>
      <c r="H28" s="8">
        <v>0.42130000000000001</v>
      </c>
      <c r="I28" s="8">
        <v>0.40970000000000001</v>
      </c>
      <c r="J28" s="8">
        <v>0.38729999999999998</v>
      </c>
      <c r="K28" s="8">
        <v>0.3679</v>
      </c>
      <c r="L28" s="8">
        <v>0.35659999999999997</v>
      </c>
      <c r="M28" s="8">
        <v>0.34510000000000002</v>
      </c>
      <c r="N28" s="8">
        <v>0.33310000000000001</v>
      </c>
      <c r="O28" s="8">
        <v>0.31840000000000002</v>
      </c>
      <c r="P28" s="8">
        <v>0.30070000000000002</v>
      </c>
      <c r="Q28" s="8">
        <v>0.29120000000000001</v>
      </c>
      <c r="R28" s="8">
        <v>0.2858</v>
      </c>
      <c r="S28" s="8">
        <v>0.27729999999999999</v>
      </c>
      <c r="T28" s="8">
        <v>0.2646</v>
      </c>
      <c r="U28" s="8">
        <v>0.25140000000000001</v>
      </c>
      <c r="V28" s="8">
        <v>0.23910000000000001</v>
      </c>
      <c r="W28" s="8">
        <v>0.23300000000000001</v>
      </c>
      <c r="X28" s="8">
        <v>0.22450000000000001</v>
      </c>
      <c r="Y28" s="8">
        <v>0.21870000000000001</v>
      </c>
      <c r="Z28" s="8">
        <v>0.19089999999999999</v>
      </c>
      <c r="AA28" s="8"/>
    </row>
    <row r="29" spans="1:31" ht="12.5" x14ac:dyDescent="0.25">
      <c r="A29" s="2">
        <v>20</v>
      </c>
      <c r="B29" s="2">
        <v>24753</v>
      </c>
      <c r="C29" s="8">
        <v>0.61060000000000003</v>
      </c>
      <c r="D29" s="8">
        <v>0.55589999999999995</v>
      </c>
      <c r="E29" s="8">
        <v>0.53290000000000004</v>
      </c>
      <c r="F29" s="8">
        <v>0.52210000000000001</v>
      </c>
      <c r="G29" s="8">
        <v>0.48770000000000002</v>
      </c>
      <c r="H29" s="8">
        <v>0.4491</v>
      </c>
      <c r="I29" s="8">
        <v>0.42530000000000001</v>
      </c>
      <c r="J29" s="8">
        <v>0.41770000000000002</v>
      </c>
      <c r="K29" s="8">
        <v>0.39340000000000003</v>
      </c>
      <c r="L29" s="8">
        <v>0.37369999999999998</v>
      </c>
      <c r="M29" s="8">
        <v>0.36020000000000002</v>
      </c>
      <c r="N29" s="8">
        <v>0.34889999999999999</v>
      </c>
      <c r="O29" s="8">
        <v>0.33750000000000002</v>
      </c>
      <c r="P29" s="8">
        <v>0.32229999999999998</v>
      </c>
      <c r="Q29" s="8">
        <v>0.30690000000000001</v>
      </c>
      <c r="R29" s="8">
        <v>0.29239999999999999</v>
      </c>
      <c r="S29" s="8">
        <v>0.28739999999999999</v>
      </c>
      <c r="T29" s="8">
        <v>0.2767</v>
      </c>
      <c r="U29" s="8">
        <v>0.26419999999999999</v>
      </c>
      <c r="V29" s="8">
        <v>0.2535</v>
      </c>
      <c r="W29" s="8">
        <v>0.23880000000000001</v>
      </c>
      <c r="X29" s="8">
        <v>0.2301</v>
      </c>
      <c r="Y29" s="8">
        <v>0.223</v>
      </c>
      <c r="Z29" s="8">
        <v>0.2172</v>
      </c>
      <c r="AA29" s="8">
        <v>0.19139999999999999</v>
      </c>
      <c r="AB29" s="8"/>
    </row>
    <row r="30" spans="1:31" ht="12.5" x14ac:dyDescent="0.25">
      <c r="A30" s="2">
        <v>19</v>
      </c>
      <c r="B30" s="2">
        <v>18337</v>
      </c>
      <c r="C30" s="8">
        <v>0.5665</v>
      </c>
      <c r="D30" s="8">
        <v>0.51770000000000005</v>
      </c>
      <c r="E30" s="8">
        <v>0.50670000000000004</v>
      </c>
      <c r="F30" s="8">
        <v>0.50729999999999997</v>
      </c>
      <c r="G30" s="8">
        <v>0.47199999999999998</v>
      </c>
      <c r="H30" s="8">
        <v>0.44440000000000002</v>
      </c>
      <c r="I30" s="8">
        <v>0.41389999999999999</v>
      </c>
      <c r="J30" s="8">
        <v>0.39250000000000002</v>
      </c>
      <c r="K30" s="8">
        <v>0.38159999999999999</v>
      </c>
      <c r="L30" s="8">
        <v>0.36730000000000002</v>
      </c>
      <c r="M30" s="8">
        <v>0.34710000000000002</v>
      </c>
      <c r="N30" s="8">
        <v>0.33729999999999999</v>
      </c>
      <c r="O30" s="8">
        <v>0.32640000000000002</v>
      </c>
      <c r="P30" s="8">
        <v>0.31119999999999998</v>
      </c>
      <c r="Q30" s="8">
        <v>0.29849999999999999</v>
      </c>
      <c r="R30" s="8">
        <v>0.28610000000000002</v>
      </c>
      <c r="S30" s="8">
        <v>0.27429999999999999</v>
      </c>
      <c r="T30" s="8">
        <v>0.27260000000000001</v>
      </c>
      <c r="U30" s="8">
        <v>0.25719999999999998</v>
      </c>
      <c r="V30" s="8">
        <v>0.24940000000000001</v>
      </c>
      <c r="W30" s="8">
        <v>0.2351</v>
      </c>
      <c r="X30" s="8">
        <v>0.22220000000000001</v>
      </c>
      <c r="Y30" s="8">
        <v>0.21440000000000001</v>
      </c>
      <c r="Z30" s="8">
        <v>0.20880000000000001</v>
      </c>
      <c r="AA30" s="8">
        <v>0.19939999999999999</v>
      </c>
      <c r="AB30" s="8">
        <v>0.17680000000000001</v>
      </c>
      <c r="AC30" s="8"/>
    </row>
    <row r="31" spans="1:31" ht="12.5" x14ac:dyDescent="0.25">
      <c r="A31" s="2">
        <v>18</v>
      </c>
      <c r="B31" s="2">
        <v>14603</v>
      </c>
      <c r="C31" s="8">
        <v>0.53949999999999998</v>
      </c>
      <c r="D31" s="8">
        <v>0.49130000000000001</v>
      </c>
      <c r="E31" s="8">
        <v>0.45860000000000001</v>
      </c>
      <c r="F31" s="8">
        <v>0.45090000000000002</v>
      </c>
      <c r="G31" s="8">
        <v>0.41639999999999999</v>
      </c>
      <c r="H31" s="8">
        <v>0.39329999999999998</v>
      </c>
      <c r="I31" s="8">
        <v>0.37140000000000001</v>
      </c>
      <c r="J31" s="8">
        <v>0.34210000000000002</v>
      </c>
      <c r="K31" s="8">
        <v>0.32519999999999999</v>
      </c>
      <c r="L31" s="8">
        <v>0.32129999999999997</v>
      </c>
      <c r="M31" s="8">
        <v>0.30599999999999999</v>
      </c>
      <c r="N31" s="8">
        <v>0.2918</v>
      </c>
      <c r="O31" s="8">
        <v>0.27989999999999998</v>
      </c>
      <c r="P31" s="8">
        <v>0.26800000000000002</v>
      </c>
      <c r="Q31" s="8">
        <v>0.26119999999999999</v>
      </c>
      <c r="R31" s="8">
        <v>0.25480000000000003</v>
      </c>
      <c r="S31" s="8">
        <v>0.23810000000000001</v>
      </c>
      <c r="T31" s="8">
        <v>0.23019999999999999</v>
      </c>
      <c r="U31" s="8">
        <v>0.22800000000000001</v>
      </c>
      <c r="V31" s="8">
        <v>0.21790000000000001</v>
      </c>
      <c r="W31" s="8">
        <v>0.2087</v>
      </c>
      <c r="X31" s="8">
        <v>0.19980000000000001</v>
      </c>
      <c r="Y31" s="8">
        <v>0.18779999999999999</v>
      </c>
      <c r="Z31" s="8">
        <v>0.1817</v>
      </c>
      <c r="AA31" s="8">
        <v>0.17599999999999999</v>
      </c>
      <c r="AB31" s="8">
        <v>0.17069999999999999</v>
      </c>
      <c r="AC31" s="8">
        <v>0.14940000000000001</v>
      </c>
      <c r="AD31" s="8"/>
    </row>
    <row r="32" spans="1:31" ht="12.5" x14ac:dyDescent="0.25">
      <c r="A32" s="2">
        <v>17</v>
      </c>
      <c r="B32" s="2">
        <v>14565</v>
      </c>
      <c r="C32" s="8">
        <v>0.54859999999999998</v>
      </c>
      <c r="D32" s="8">
        <v>0.48930000000000001</v>
      </c>
      <c r="E32" s="8">
        <v>0.46439999999999998</v>
      </c>
      <c r="F32" s="8">
        <v>0.44130000000000003</v>
      </c>
      <c r="G32" s="8">
        <v>0.41210000000000002</v>
      </c>
      <c r="H32" s="8">
        <v>0.3926</v>
      </c>
      <c r="I32" s="8">
        <v>0.37890000000000001</v>
      </c>
      <c r="J32" s="8">
        <v>0.35410000000000003</v>
      </c>
      <c r="K32" s="8">
        <v>0.32550000000000001</v>
      </c>
      <c r="L32" s="8">
        <v>0.30990000000000001</v>
      </c>
      <c r="M32" s="8">
        <v>0.30520000000000003</v>
      </c>
      <c r="N32" s="8">
        <v>0.2893</v>
      </c>
      <c r="O32" s="8">
        <v>0.2787</v>
      </c>
      <c r="P32" s="8">
        <v>0.26800000000000002</v>
      </c>
      <c r="Q32" s="8">
        <v>0.25950000000000001</v>
      </c>
      <c r="R32" s="8">
        <v>0.25459999999999999</v>
      </c>
      <c r="S32" s="8">
        <v>0.2402</v>
      </c>
      <c r="T32" s="8">
        <v>0.2276</v>
      </c>
      <c r="U32" s="8">
        <v>0.22309999999999999</v>
      </c>
      <c r="V32" s="8">
        <v>0.21779999999999999</v>
      </c>
      <c r="W32" s="8">
        <v>0.20930000000000001</v>
      </c>
      <c r="X32" s="8">
        <v>0.1981</v>
      </c>
      <c r="Y32" s="8">
        <v>0.1905</v>
      </c>
      <c r="Z32" s="8">
        <v>0.183</v>
      </c>
      <c r="AA32" s="8">
        <v>0.17749999999999999</v>
      </c>
      <c r="AB32" s="8">
        <v>0.1701</v>
      </c>
      <c r="AC32" s="8">
        <v>0.16450000000000001</v>
      </c>
      <c r="AD32" s="8">
        <v>0.14130000000000001</v>
      </c>
      <c r="AE32" s="8"/>
    </row>
    <row r="33" spans="1:46" ht="12.5" x14ac:dyDescent="0.25">
      <c r="A33" s="2">
        <v>16</v>
      </c>
      <c r="B33" s="2">
        <v>14336</v>
      </c>
      <c r="C33" s="8">
        <v>0.55659999999999998</v>
      </c>
      <c r="D33" s="8">
        <v>0.49609999999999999</v>
      </c>
      <c r="E33" s="8">
        <v>0.4723</v>
      </c>
      <c r="F33" s="8">
        <v>0.46139999999999998</v>
      </c>
      <c r="G33" s="8">
        <v>0.41920000000000002</v>
      </c>
      <c r="H33" s="8">
        <v>0.39660000000000001</v>
      </c>
      <c r="I33" s="8">
        <v>0.38090000000000002</v>
      </c>
      <c r="J33" s="8">
        <v>0.36859999999999998</v>
      </c>
      <c r="K33" s="8">
        <v>0.3473</v>
      </c>
      <c r="L33" s="8">
        <v>0.32090000000000002</v>
      </c>
      <c r="M33" s="8">
        <v>0.30370000000000003</v>
      </c>
      <c r="N33" s="8">
        <v>0.29580000000000001</v>
      </c>
      <c r="O33" s="8">
        <v>0.28889999999999999</v>
      </c>
      <c r="P33" s="8">
        <v>0.27789999999999998</v>
      </c>
      <c r="Q33" s="8">
        <v>0.26619999999999999</v>
      </c>
      <c r="R33" s="8">
        <v>0.25729999999999997</v>
      </c>
      <c r="S33" s="8">
        <v>0.25290000000000001</v>
      </c>
      <c r="T33" s="8">
        <v>0.24010000000000001</v>
      </c>
      <c r="U33" s="8">
        <v>0.22420000000000001</v>
      </c>
      <c r="V33" s="8">
        <v>0.21510000000000001</v>
      </c>
      <c r="W33" s="8">
        <v>0.21390000000000001</v>
      </c>
      <c r="X33" s="8">
        <v>0.2074</v>
      </c>
      <c r="Y33" s="8">
        <v>0.1971</v>
      </c>
      <c r="Z33" s="8">
        <v>0.18720000000000001</v>
      </c>
      <c r="AA33" s="8">
        <v>0.17419999999999999</v>
      </c>
      <c r="AB33" s="8">
        <v>0.17030000000000001</v>
      </c>
      <c r="AC33" s="8">
        <v>0.16589999999999999</v>
      </c>
      <c r="AD33" s="8">
        <v>0.16109999999999999</v>
      </c>
      <c r="AE33" s="8">
        <v>0.1391</v>
      </c>
      <c r="AF33" s="8"/>
    </row>
    <row r="34" spans="1:46" ht="12.5" x14ac:dyDescent="0.25">
      <c r="A34" s="2">
        <v>15</v>
      </c>
      <c r="B34" s="2">
        <v>27968</v>
      </c>
      <c r="C34" s="8">
        <v>0.4677</v>
      </c>
      <c r="D34" s="8">
        <v>0.55089999999999995</v>
      </c>
      <c r="E34" s="8">
        <v>0.67379999999999995</v>
      </c>
      <c r="F34" s="8">
        <v>0.73919999999999997</v>
      </c>
      <c r="G34" s="8">
        <v>0.68540000000000001</v>
      </c>
      <c r="H34" s="8">
        <v>0.63349999999999995</v>
      </c>
      <c r="I34" s="8">
        <v>0.59730000000000005</v>
      </c>
      <c r="J34" s="8">
        <v>0.57399999999999995</v>
      </c>
      <c r="K34" s="8">
        <v>0.54910000000000003</v>
      </c>
      <c r="L34" s="8">
        <v>0.52290000000000003</v>
      </c>
      <c r="M34" s="8">
        <v>0.49590000000000001</v>
      </c>
      <c r="N34" s="8">
        <v>0.47589999999999999</v>
      </c>
      <c r="O34" s="8">
        <v>0.45729999999999998</v>
      </c>
      <c r="P34" s="8">
        <v>0.436</v>
      </c>
      <c r="Q34" s="8">
        <v>0.41210000000000002</v>
      </c>
      <c r="R34" s="8">
        <v>0.3987</v>
      </c>
      <c r="S34" s="8">
        <v>0.38819999999999999</v>
      </c>
      <c r="T34" s="9">
        <v>0.38</v>
      </c>
      <c r="U34" s="8">
        <v>0.36080000000000001</v>
      </c>
      <c r="V34" s="8">
        <v>0.34499999999999997</v>
      </c>
      <c r="W34" s="8">
        <v>0.3306</v>
      </c>
      <c r="X34" s="8">
        <v>0.32390000000000002</v>
      </c>
      <c r="Y34" s="8">
        <v>0.31359999999999999</v>
      </c>
      <c r="Z34" s="8">
        <v>0.30099999999999999</v>
      </c>
      <c r="AA34" s="8">
        <v>0.28739999999999999</v>
      </c>
      <c r="AB34" s="8">
        <v>0.27360000000000001</v>
      </c>
      <c r="AC34" s="8">
        <v>0.26579999999999998</v>
      </c>
      <c r="AD34" s="8">
        <v>0.25829999999999997</v>
      </c>
      <c r="AE34" s="8">
        <v>0.251</v>
      </c>
      <c r="AF34" s="8">
        <v>0.2329</v>
      </c>
      <c r="AG34" s="8"/>
    </row>
    <row r="35" spans="1:46" ht="12.5" x14ac:dyDescent="0.25">
      <c r="A35" s="2">
        <v>14</v>
      </c>
      <c r="B35" s="2">
        <v>14311</v>
      </c>
      <c r="C35" s="8">
        <v>0.63270000000000004</v>
      </c>
      <c r="D35" s="8">
        <v>0.57120000000000004</v>
      </c>
      <c r="E35" s="8">
        <v>0.54449999999999998</v>
      </c>
      <c r="F35" s="8">
        <v>0.53220000000000001</v>
      </c>
      <c r="G35" s="8">
        <v>0.50039999999999996</v>
      </c>
      <c r="H35" s="8">
        <v>0.4773</v>
      </c>
      <c r="I35" s="8">
        <v>0.44940000000000002</v>
      </c>
      <c r="J35" s="8">
        <v>0.4304</v>
      </c>
      <c r="K35" s="8">
        <v>0.4163</v>
      </c>
      <c r="L35" s="8">
        <v>0.40039999999999998</v>
      </c>
      <c r="M35" s="8">
        <v>0.38419999999999999</v>
      </c>
      <c r="N35" s="8">
        <v>0.3594</v>
      </c>
      <c r="O35" s="8">
        <v>0.34760000000000002</v>
      </c>
      <c r="P35" s="8">
        <v>0.33179999999999998</v>
      </c>
      <c r="Q35" s="8">
        <v>0.31879999999999997</v>
      </c>
      <c r="R35" s="8">
        <v>0.30890000000000001</v>
      </c>
      <c r="S35" s="8">
        <v>0.29949999999999999</v>
      </c>
      <c r="T35" s="8">
        <v>0.29189999999999999</v>
      </c>
      <c r="U35" s="8">
        <v>0.28510000000000002</v>
      </c>
      <c r="V35" s="8">
        <v>0.27689999999999998</v>
      </c>
      <c r="W35" s="8">
        <v>0.2606</v>
      </c>
      <c r="X35" s="8">
        <v>0.2465</v>
      </c>
      <c r="Y35" s="8">
        <v>0.247</v>
      </c>
      <c r="Z35" s="8">
        <v>0.23569999999999999</v>
      </c>
      <c r="AA35" s="8">
        <v>0.23269999999999999</v>
      </c>
      <c r="AB35" s="8">
        <v>0.21920000000000001</v>
      </c>
      <c r="AC35" s="8">
        <v>0.2107</v>
      </c>
      <c r="AD35" s="8">
        <v>0.2026</v>
      </c>
      <c r="AE35" s="8">
        <v>0.1976</v>
      </c>
      <c r="AF35" s="8">
        <v>0.1923</v>
      </c>
      <c r="AG35" s="8">
        <v>0.1724</v>
      </c>
      <c r="AH35" s="8"/>
    </row>
    <row r="36" spans="1:46" ht="12.5" x14ac:dyDescent="0.25">
      <c r="A36" s="2">
        <v>13</v>
      </c>
      <c r="B36" s="2">
        <v>11567</v>
      </c>
      <c r="C36" s="8">
        <v>0.60470000000000002</v>
      </c>
      <c r="D36" s="8">
        <v>0.54390000000000005</v>
      </c>
      <c r="E36" s="8">
        <v>0.50319999999999998</v>
      </c>
      <c r="F36" s="8">
        <v>0.48649999999999999</v>
      </c>
      <c r="G36" s="8">
        <v>0.45100000000000001</v>
      </c>
      <c r="H36" s="8">
        <v>0.4385</v>
      </c>
      <c r="I36" s="8">
        <v>0.41639999999999999</v>
      </c>
      <c r="J36" s="8">
        <v>0.39340000000000003</v>
      </c>
      <c r="K36" s="8">
        <v>0.37659999999999999</v>
      </c>
      <c r="L36" s="8">
        <v>0.36659999999999998</v>
      </c>
      <c r="M36" s="8">
        <v>0.35039999999999999</v>
      </c>
      <c r="N36" s="8">
        <v>0.33539999999999998</v>
      </c>
      <c r="O36" s="8">
        <v>0.31359999999999999</v>
      </c>
      <c r="P36" s="8">
        <v>0.30449999999999999</v>
      </c>
      <c r="Q36" s="8">
        <v>0.29260000000000003</v>
      </c>
      <c r="R36" s="8">
        <v>0.28349999999999997</v>
      </c>
      <c r="S36" s="8">
        <v>0.26869999999999999</v>
      </c>
      <c r="T36" s="8">
        <v>0.26069999999999999</v>
      </c>
      <c r="U36" s="8">
        <v>0.253</v>
      </c>
      <c r="V36" s="8">
        <v>0.251</v>
      </c>
      <c r="W36" s="8">
        <v>0.2417</v>
      </c>
      <c r="X36" s="8">
        <v>0.23300000000000001</v>
      </c>
      <c r="Y36" s="8">
        <v>0.2233</v>
      </c>
      <c r="Z36" s="8">
        <v>0.22209999999999999</v>
      </c>
      <c r="AA36" s="8">
        <v>0.21179999999999999</v>
      </c>
      <c r="AB36" s="8">
        <v>0.20230000000000001</v>
      </c>
      <c r="AC36" s="8">
        <v>0.19320000000000001</v>
      </c>
      <c r="AD36" s="8">
        <v>0.1867</v>
      </c>
      <c r="AE36" s="8">
        <v>0.17910000000000001</v>
      </c>
      <c r="AF36" s="8">
        <v>0.17280000000000001</v>
      </c>
      <c r="AG36" s="8">
        <v>0.1694</v>
      </c>
      <c r="AH36" s="8">
        <v>0.1464</v>
      </c>
      <c r="AI36" s="8"/>
    </row>
    <row r="37" spans="1:46" ht="12.5" x14ac:dyDescent="0.25">
      <c r="A37" s="2">
        <v>12</v>
      </c>
      <c r="B37" s="2">
        <v>14362</v>
      </c>
      <c r="C37" s="8">
        <v>0.48380000000000001</v>
      </c>
      <c r="D37" s="8">
        <v>0.4778</v>
      </c>
      <c r="E37" s="9">
        <v>0.45</v>
      </c>
      <c r="F37" s="8">
        <v>0.42859999999999998</v>
      </c>
      <c r="G37" s="8">
        <v>0.40129999999999999</v>
      </c>
      <c r="H37" s="8">
        <v>0.3906</v>
      </c>
      <c r="I37" s="8">
        <v>0.38550000000000001</v>
      </c>
      <c r="J37" s="8">
        <v>0.36499999999999999</v>
      </c>
      <c r="K37" s="8">
        <v>0.3483</v>
      </c>
      <c r="L37" s="8">
        <v>0.33550000000000002</v>
      </c>
      <c r="M37" s="8">
        <v>0.3286</v>
      </c>
      <c r="N37" s="8">
        <v>0.31780000000000003</v>
      </c>
      <c r="O37" s="8">
        <v>0.30520000000000003</v>
      </c>
      <c r="P37" s="8">
        <v>0.29070000000000001</v>
      </c>
      <c r="Q37" s="8">
        <v>0.2787</v>
      </c>
      <c r="R37" s="8">
        <v>0.27060000000000001</v>
      </c>
      <c r="S37" s="8">
        <v>0.25979999999999998</v>
      </c>
      <c r="T37" s="8">
        <v>0.25430000000000003</v>
      </c>
      <c r="U37" s="8">
        <v>0.24590000000000001</v>
      </c>
      <c r="V37" s="9">
        <v>0.24</v>
      </c>
      <c r="W37" s="8">
        <v>0.2346</v>
      </c>
      <c r="X37" s="8">
        <v>0.22700000000000001</v>
      </c>
      <c r="Y37" s="8">
        <v>0.21740000000000001</v>
      </c>
      <c r="Z37" s="8">
        <v>0.2097</v>
      </c>
      <c r="AA37" s="8">
        <v>0.2097</v>
      </c>
      <c r="AB37" s="8">
        <v>0.1991</v>
      </c>
      <c r="AC37" s="8">
        <v>0.1928</v>
      </c>
      <c r="AD37" s="8">
        <v>0.189</v>
      </c>
      <c r="AE37" s="8">
        <v>0.17749999999999999</v>
      </c>
      <c r="AF37" s="8">
        <v>0.1729</v>
      </c>
      <c r="AG37" s="8">
        <v>0.1656</v>
      </c>
      <c r="AH37" s="8">
        <v>0.16250000000000001</v>
      </c>
      <c r="AI37" s="8">
        <v>0.14219999999999999</v>
      </c>
      <c r="AJ37" s="8"/>
    </row>
    <row r="38" spans="1:46" ht="12.5" x14ac:dyDescent="0.25">
      <c r="A38" s="2">
        <v>11</v>
      </c>
      <c r="B38" s="2">
        <v>18709</v>
      </c>
      <c r="C38" s="8">
        <v>0.4425</v>
      </c>
      <c r="D38" s="8">
        <v>0.36770000000000003</v>
      </c>
      <c r="E38" s="8">
        <v>0.38030000000000003</v>
      </c>
      <c r="F38" s="8">
        <v>0.37109999999999999</v>
      </c>
      <c r="G38" s="8">
        <v>0.34920000000000001</v>
      </c>
      <c r="H38" s="8">
        <v>0.33889999999999998</v>
      </c>
      <c r="I38" s="8">
        <v>0.33100000000000002</v>
      </c>
      <c r="J38" s="8">
        <v>0.3281</v>
      </c>
      <c r="K38" s="8">
        <v>0.31900000000000001</v>
      </c>
      <c r="L38" s="8">
        <v>0.30199999999999999</v>
      </c>
      <c r="M38" s="8">
        <v>0.29310000000000003</v>
      </c>
      <c r="N38" s="8">
        <v>0.28470000000000001</v>
      </c>
      <c r="O38" s="8">
        <v>0.28139999999999998</v>
      </c>
      <c r="P38" s="8">
        <v>0.26900000000000002</v>
      </c>
      <c r="Q38" s="8">
        <v>0.25890000000000002</v>
      </c>
      <c r="R38" s="8">
        <v>0.25019999999999998</v>
      </c>
      <c r="S38" s="8">
        <v>0.2404</v>
      </c>
      <c r="T38" s="8">
        <v>0.23100000000000001</v>
      </c>
      <c r="U38" s="8">
        <v>0.22750000000000001</v>
      </c>
      <c r="V38" s="8">
        <v>0.22120000000000001</v>
      </c>
      <c r="W38" s="8">
        <v>0.21579999999999999</v>
      </c>
      <c r="X38" s="8">
        <v>0.2117</v>
      </c>
      <c r="Y38" s="8">
        <v>0.2089</v>
      </c>
      <c r="Z38" s="8">
        <v>0.19819999999999999</v>
      </c>
      <c r="AA38" s="8">
        <v>0.1925</v>
      </c>
      <c r="AB38" s="8">
        <v>0.1928</v>
      </c>
      <c r="AC38" s="8">
        <v>0.18479999999999999</v>
      </c>
      <c r="AD38" s="8">
        <v>0.17760000000000001</v>
      </c>
      <c r="AE38" s="8">
        <v>0.16839999999999999</v>
      </c>
      <c r="AF38" s="8">
        <v>0.16139999999999999</v>
      </c>
      <c r="AG38" s="8">
        <v>0.15459999999999999</v>
      </c>
      <c r="AH38" s="8">
        <v>0.14929999999999999</v>
      </c>
      <c r="AI38" s="8">
        <v>0.14499999999999999</v>
      </c>
      <c r="AJ38" s="8">
        <v>0.12790000000000001</v>
      </c>
      <c r="AK38" s="8"/>
    </row>
    <row r="39" spans="1:46" ht="12.5" x14ac:dyDescent="0.25">
      <c r="A39" s="2">
        <v>10</v>
      </c>
      <c r="B39" s="2">
        <v>21946</v>
      </c>
      <c r="C39" s="8">
        <v>0.56220000000000003</v>
      </c>
      <c r="D39" s="8">
        <v>0.51219999999999999</v>
      </c>
      <c r="E39" s="8">
        <v>0.45619999999999999</v>
      </c>
      <c r="F39" s="8">
        <v>0.4486</v>
      </c>
      <c r="G39" s="8">
        <v>0.41660000000000003</v>
      </c>
      <c r="H39" s="8">
        <v>0.40029999999999999</v>
      </c>
      <c r="I39" s="8">
        <v>0.38390000000000002</v>
      </c>
      <c r="J39" s="8">
        <v>0.37009999999999998</v>
      </c>
      <c r="K39" s="8">
        <v>0.3644</v>
      </c>
      <c r="L39" s="8">
        <v>0.34810000000000002</v>
      </c>
      <c r="M39" s="8">
        <v>0.33179999999999998</v>
      </c>
      <c r="N39" s="8">
        <v>0.31919999999999998</v>
      </c>
      <c r="O39" s="8">
        <v>0.31230000000000002</v>
      </c>
      <c r="P39" s="8">
        <v>0.30120000000000002</v>
      </c>
      <c r="Q39" s="8">
        <v>0.29220000000000002</v>
      </c>
      <c r="R39" s="8">
        <v>0.27960000000000002</v>
      </c>
      <c r="S39" s="8">
        <v>0.26429999999999998</v>
      </c>
      <c r="T39" s="8">
        <v>0.25790000000000002</v>
      </c>
      <c r="U39" s="8">
        <v>0.253</v>
      </c>
      <c r="V39" s="8">
        <v>0.24410000000000001</v>
      </c>
      <c r="W39" s="8">
        <v>0.2382</v>
      </c>
      <c r="X39" s="8">
        <v>0.2341</v>
      </c>
      <c r="Y39" s="8">
        <v>0.2303</v>
      </c>
      <c r="Z39" s="8">
        <v>0.22309999999999999</v>
      </c>
      <c r="AA39" s="8">
        <v>0.21240000000000001</v>
      </c>
      <c r="AB39" s="8">
        <v>0.20480000000000001</v>
      </c>
      <c r="AC39" s="8">
        <v>0.20150000000000001</v>
      </c>
      <c r="AD39" s="8">
        <v>0.19739999999999999</v>
      </c>
      <c r="AE39" s="8">
        <v>0.18890000000000001</v>
      </c>
      <c r="AF39" s="8">
        <v>0.18279999999999999</v>
      </c>
      <c r="AG39" s="8">
        <v>0.17150000000000001</v>
      </c>
      <c r="AH39" s="8">
        <v>0.1663</v>
      </c>
      <c r="AI39" s="8">
        <v>0.16020000000000001</v>
      </c>
      <c r="AJ39" s="8">
        <v>0.15809999999999999</v>
      </c>
      <c r="AK39" s="8">
        <v>0.1328</v>
      </c>
      <c r="AL39" s="8"/>
    </row>
    <row r="40" spans="1:46" ht="12.5" x14ac:dyDescent="0.25">
      <c r="A40" s="2">
        <v>9</v>
      </c>
      <c r="B40" s="2">
        <v>13502</v>
      </c>
      <c r="C40" s="8">
        <v>0.66059999999999997</v>
      </c>
      <c r="D40" s="8">
        <v>0.57389999999999997</v>
      </c>
      <c r="E40" s="8">
        <v>0.53839999999999999</v>
      </c>
      <c r="F40" s="8">
        <v>0.49790000000000001</v>
      </c>
      <c r="G40" s="8">
        <v>0.46450000000000002</v>
      </c>
      <c r="H40" s="8">
        <v>0.4461</v>
      </c>
      <c r="I40" s="8">
        <v>0.4229</v>
      </c>
      <c r="J40" s="8">
        <v>0.40350000000000003</v>
      </c>
      <c r="K40" s="8">
        <v>0.3866</v>
      </c>
      <c r="L40" s="8">
        <v>0.3856</v>
      </c>
      <c r="M40" s="8">
        <v>0.36420000000000002</v>
      </c>
      <c r="N40" s="8">
        <v>0.34339999999999998</v>
      </c>
      <c r="O40" s="8">
        <v>0.33900000000000002</v>
      </c>
      <c r="P40" s="8">
        <v>0.32369999999999999</v>
      </c>
      <c r="Q40" s="8">
        <v>0.31680000000000003</v>
      </c>
      <c r="R40" s="8">
        <v>0.3024</v>
      </c>
      <c r="S40" s="8">
        <v>0.28949999999999998</v>
      </c>
      <c r="T40" s="8">
        <v>0.27739999999999998</v>
      </c>
      <c r="U40" s="8">
        <v>0.2651</v>
      </c>
      <c r="V40" s="8">
        <v>0.26119999999999999</v>
      </c>
      <c r="W40" s="8">
        <v>0.25769999999999998</v>
      </c>
      <c r="X40" s="9">
        <v>0.25</v>
      </c>
      <c r="Y40" s="8">
        <v>0.24779999999999999</v>
      </c>
      <c r="Z40" s="8">
        <v>0.24460000000000001</v>
      </c>
      <c r="AA40" s="8">
        <v>0.23269999999999999</v>
      </c>
      <c r="AB40" s="8">
        <v>0.2271</v>
      </c>
      <c r="AC40" s="8">
        <v>0.22059999999999999</v>
      </c>
      <c r="AD40" s="8">
        <v>0.21379999999999999</v>
      </c>
      <c r="AE40" s="8">
        <v>0.2092</v>
      </c>
      <c r="AF40" s="8">
        <v>0.20319999999999999</v>
      </c>
      <c r="AG40" s="8">
        <v>0.192</v>
      </c>
      <c r="AH40" s="8">
        <v>0.17949999999999999</v>
      </c>
      <c r="AI40" s="8">
        <v>0.17349999999999999</v>
      </c>
      <c r="AJ40" s="8">
        <v>0.17180000000000001</v>
      </c>
      <c r="AK40" s="8">
        <v>0.1673</v>
      </c>
      <c r="AL40" s="8">
        <v>0.1459</v>
      </c>
      <c r="AM40" s="8"/>
    </row>
    <row r="41" spans="1:46" ht="12.5" x14ac:dyDescent="0.25">
      <c r="A41" s="2">
        <v>8</v>
      </c>
      <c r="B41" s="2">
        <v>13102</v>
      </c>
      <c r="C41" s="8">
        <v>0.6361</v>
      </c>
      <c r="D41" s="8">
        <v>0.61960000000000004</v>
      </c>
      <c r="E41" s="8">
        <v>0.55720000000000003</v>
      </c>
      <c r="F41" s="8">
        <v>0.53239999999999998</v>
      </c>
      <c r="G41" s="8">
        <v>0.4824</v>
      </c>
      <c r="H41" s="8">
        <v>0.46489999999999998</v>
      </c>
      <c r="I41" s="8">
        <v>0.43759999999999999</v>
      </c>
      <c r="J41" s="8">
        <v>0.42270000000000002</v>
      </c>
      <c r="K41" s="8">
        <v>0.40550000000000003</v>
      </c>
      <c r="L41" s="8">
        <v>0.38990000000000002</v>
      </c>
      <c r="M41" s="8">
        <v>0.38429999999999997</v>
      </c>
      <c r="N41" s="8">
        <v>0.37030000000000002</v>
      </c>
      <c r="O41" s="8">
        <v>0.34860000000000002</v>
      </c>
      <c r="P41" s="8">
        <v>0.33750000000000002</v>
      </c>
      <c r="Q41" s="8">
        <v>0.3261</v>
      </c>
      <c r="R41" s="8">
        <v>0.31869999999999998</v>
      </c>
      <c r="S41" s="8">
        <v>0.3105</v>
      </c>
      <c r="T41" s="8">
        <v>0.29199999999999998</v>
      </c>
      <c r="U41" s="8">
        <v>0.28220000000000001</v>
      </c>
      <c r="V41" s="8">
        <v>0.27550000000000002</v>
      </c>
      <c r="W41" s="8">
        <v>0.27150000000000002</v>
      </c>
      <c r="X41" s="8">
        <v>0.26219999999999999</v>
      </c>
      <c r="Y41" s="8">
        <v>0.2571</v>
      </c>
      <c r="Z41" s="8">
        <v>0.25280000000000002</v>
      </c>
      <c r="AA41" s="8">
        <v>0.24779999999999999</v>
      </c>
      <c r="AB41" s="8">
        <v>0.23680000000000001</v>
      </c>
      <c r="AC41" s="8">
        <v>0.22889999999999999</v>
      </c>
      <c r="AD41" s="8">
        <v>0.21940000000000001</v>
      </c>
      <c r="AE41" s="8">
        <v>0.217</v>
      </c>
      <c r="AF41" s="8">
        <v>0.21299999999999999</v>
      </c>
      <c r="AG41" s="8">
        <v>0.20150000000000001</v>
      </c>
      <c r="AH41" s="8">
        <v>0.1961</v>
      </c>
      <c r="AI41" s="8">
        <v>0.1847</v>
      </c>
      <c r="AJ41" s="8">
        <v>0.1774</v>
      </c>
      <c r="AK41" s="8">
        <v>0.1696</v>
      </c>
      <c r="AL41" s="8">
        <v>0.16719999999999999</v>
      </c>
      <c r="AM41" s="8">
        <v>0.14699999999999999</v>
      </c>
      <c r="AN41" s="8"/>
    </row>
    <row r="42" spans="1:46" ht="12.5" x14ac:dyDescent="0.25">
      <c r="A42" s="2">
        <v>7</v>
      </c>
      <c r="B42" s="2">
        <v>13354</v>
      </c>
      <c r="C42" s="8">
        <v>0.62329999999999997</v>
      </c>
      <c r="D42" s="8">
        <v>0.57669999999999999</v>
      </c>
      <c r="E42" s="8">
        <v>0.57709999999999995</v>
      </c>
      <c r="F42" s="8">
        <v>0.51929999999999998</v>
      </c>
      <c r="G42" s="8">
        <v>0.48070000000000002</v>
      </c>
      <c r="H42" s="9">
        <v>0.45</v>
      </c>
      <c r="I42" s="8">
        <v>0.43340000000000001</v>
      </c>
      <c r="J42" s="8">
        <v>0.41070000000000001</v>
      </c>
      <c r="K42" s="8">
        <v>0.38979999999999998</v>
      </c>
      <c r="L42" s="8">
        <v>0.37619999999999998</v>
      </c>
      <c r="M42" s="8">
        <v>0.36330000000000001</v>
      </c>
      <c r="N42" s="8">
        <v>0.3569</v>
      </c>
      <c r="O42" s="8">
        <v>0.34470000000000001</v>
      </c>
      <c r="P42" s="8">
        <v>0.32619999999999999</v>
      </c>
      <c r="Q42" s="8">
        <v>0.31879999999999997</v>
      </c>
      <c r="R42" s="8">
        <v>0.31159999999999999</v>
      </c>
      <c r="S42" s="8">
        <v>0.29770000000000002</v>
      </c>
      <c r="T42" s="8">
        <v>0.29070000000000001</v>
      </c>
      <c r="U42" s="8">
        <v>0.2737</v>
      </c>
      <c r="V42" s="8">
        <v>0.26879999999999998</v>
      </c>
      <c r="W42" s="8">
        <v>0.25890000000000002</v>
      </c>
      <c r="X42" s="8">
        <v>0.25769999999999998</v>
      </c>
      <c r="Y42" s="8">
        <v>0.24879999999999999</v>
      </c>
      <c r="Z42" s="8">
        <v>0.24590000000000001</v>
      </c>
      <c r="AA42" s="8">
        <v>0.23949999999999999</v>
      </c>
      <c r="AB42" s="8">
        <v>0.23319999999999999</v>
      </c>
      <c r="AC42" s="9">
        <v>0.23</v>
      </c>
      <c r="AD42" s="8">
        <v>0.2195</v>
      </c>
      <c r="AE42" s="8">
        <v>0.2097</v>
      </c>
      <c r="AF42" s="8">
        <v>0.20580000000000001</v>
      </c>
      <c r="AG42" s="8">
        <v>0.19969999999999999</v>
      </c>
      <c r="AH42" s="8">
        <v>0.19139999999999999</v>
      </c>
      <c r="AI42" s="8">
        <v>0.17979999999999999</v>
      </c>
      <c r="AJ42" s="8">
        <v>0.17180000000000001</v>
      </c>
      <c r="AK42" s="8">
        <v>0.1714</v>
      </c>
      <c r="AL42" s="8">
        <v>0.16309999999999999</v>
      </c>
      <c r="AM42" s="8">
        <v>0.16209999999999999</v>
      </c>
      <c r="AN42" s="8">
        <v>0.1424</v>
      </c>
      <c r="AO42" s="8"/>
    </row>
    <row r="43" spans="1:46" ht="12.5" x14ac:dyDescent="0.25">
      <c r="A43" s="2">
        <v>6</v>
      </c>
      <c r="B43" s="2">
        <v>14051</v>
      </c>
      <c r="C43" s="8">
        <v>0.61050000000000004</v>
      </c>
      <c r="D43" s="8">
        <v>0.5605</v>
      </c>
      <c r="E43" s="8">
        <v>0.53269999999999995</v>
      </c>
      <c r="F43" s="8">
        <v>0.53879999999999995</v>
      </c>
      <c r="G43" s="8">
        <v>0.4874</v>
      </c>
      <c r="H43" s="8">
        <v>0.45850000000000002</v>
      </c>
      <c r="I43" s="8">
        <v>0.42920000000000003</v>
      </c>
      <c r="J43" s="8">
        <v>0.40770000000000001</v>
      </c>
      <c r="K43" s="8">
        <v>0.39019999999999999</v>
      </c>
      <c r="L43" s="8">
        <v>0.36940000000000001</v>
      </c>
      <c r="M43" s="8">
        <v>0.3614</v>
      </c>
      <c r="N43" s="8">
        <v>0.34739999999999999</v>
      </c>
      <c r="O43" s="8">
        <v>0.34620000000000001</v>
      </c>
      <c r="P43" s="8">
        <v>0.32869999999999999</v>
      </c>
      <c r="Q43" s="8">
        <v>0.31340000000000001</v>
      </c>
      <c r="R43" s="8">
        <v>0.30509999999999998</v>
      </c>
      <c r="S43" s="8">
        <v>0.30080000000000001</v>
      </c>
      <c r="T43" s="8">
        <v>0.28760000000000002</v>
      </c>
      <c r="U43" s="8">
        <v>0.27829999999999999</v>
      </c>
      <c r="V43" s="8">
        <v>0.26469999999999999</v>
      </c>
      <c r="W43" s="8">
        <v>0.25940000000000002</v>
      </c>
      <c r="X43" s="8">
        <v>0.25190000000000001</v>
      </c>
      <c r="Y43" s="8">
        <v>0.24510000000000001</v>
      </c>
      <c r="Z43" s="8">
        <v>0.24399999999999999</v>
      </c>
      <c r="AA43" s="8">
        <v>0.24179999999999999</v>
      </c>
      <c r="AB43" s="8">
        <v>0.2354</v>
      </c>
      <c r="AC43" s="8">
        <v>0.22939999999999999</v>
      </c>
      <c r="AD43" s="8">
        <v>0.22650000000000001</v>
      </c>
      <c r="AE43" s="8">
        <v>0.21560000000000001</v>
      </c>
      <c r="AF43" s="8">
        <v>0.21179999999999999</v>
      </c>
      <c r="AG43" s="8">
        <v>0.20760000000000001</v>
      </c>
      <c r="AH43" s="8">
        <v>0.20180000000000001</v>
      </c>
      <c r="AI43" s="8">
        <v>0.19309999999999999</v>
      </c>
      <c r="AJ43" s="8">
        <v>0.1862</v>
      </c>
      <c r="AK43" s="8">
        <v>0.17929999999999999</v>
      </c>
      <c r="AL43" s="8">
        <v>0.17369999999999999</v>
      </c>
      <c r="AM43" s="8">
        <v>0.17169999999999999</v>
      </c>
      <c r="AN43" s="8">
        <v>0.16919999999999999</v>
      </c>
      <c r="AO43" s="8">
        <v>0.1454</v>
      </c>
      <c r="AP43" s="8"/>
    </row>
    <row r="44" spans="1:46" ht="12.5" x14ac:dyDescent="0.25">
      <c r="A44" s="2">
        <v>5</v>
      </c>
      <c r="B44" s="2">
        <v>17739</v>
      </c>
      <c r="C44" s="8">
        <v>0.62380000000000002</v>
      </c>
      <c r="D44" s="8">
        <v>0.56699999999999995</v>
      </c>
      <c r="E44" s="8">
        <v>0.53239999999999998</v>
      </c>
      <c r="F44" s="8">
        <v>0.50839999999999996</v>
      </c>
      <c r="G44" s="8">
        <v>0.51160000000000005</v>
      </c>
      <c r="H44" s="8">
        <v>0.46460000000000001</v>
      </c>
      <c r="I44" s="8">
        <v>0.44379999999999997</v>
      </c>
      <c r="J44" s="8">
        <v>0.41420000000000001</v>
      </c>
      <c r="K44" s="8">
        <v>0.39529999999999998</v>
      </c>
      <c r="L44" s="8">
        <v>0.37580000000000002</v>
      </c>
      <c r="M44" s="8">
        <v>0.35909999999999997</v>
      </c>
      <c r="N44" s="8">
        <v>0.3528</v>
      </c>
      <c r="O44" s="8">
        <v>0.33779999999999999</v>
      </c>
      <c r="P44" s="8">
        <v>0.33560000000000001</v>
      </c>
      <c r="Q44" s="8">
        <v>0.3236</v>
      </c>
      <c r="R44" s="8">
        <v>0.31019999999999998</v>
      </c>
      <c r="S44" s="8">
        <v>0.29759999999999998</v>
      </c>
      <c r="T44" s="8">
        <v>0.28539999999999999</v>
      </c>
      <c r="U44" s="8">
        <v>0.28249999999999997</v>
      </c>
      <c r="V44" s="8">
        <v>0.27660000000000001</v>
      </c>
      <c r="W44" s="8">
        <v>0.26619999999999999</v>
      </c>
      <c r="X44" s="8">
        <v>0.25590000000000002</v>
      </c>
      <c r="Y44" s="8">
        <v>0.24690000000000001</v>
      </c>
      <c r="Z44" s="8">
        <v>0.24360000000000001</v>
      </c>
      <c r="AA44" s="8">
        <v>0.2364</v>
      </c>
      <c r="AB44" s="8">
        <v>0.23089999999999999</v>
      </c>
      <c r="AC44" s="8">
        <v>0.22939999999999999</v>
      </c>
      <c r="AD44" s="8">
        <v>0.22570000000000001</v>
      </c>
      <c r="AE44" s="8">
        <v>0.21460000000000001</v>
      </c>
      <c r="AF44" s="8">
        <v>0.2084</v>
      </c>
      <c r="AG44" s="8">
        <v>0.20150000000000001</v>
      </c>
      <c r="AH44" s="8">
        <v>0.19939999999999999</v>
      </c>
      <c r="AI44" s="8">
        <v>0.19500000000000001</v>
      </c>
      <c r="AJ44" s="8">
        <v>0.185</v>
      </c>
      <c r="AK44" s="8">
        <v>0.17860000000000001</v>
      </c>
      <c r="AL44" s="8">
        <v>0.1724</v>
      </c>
      <c r="AM44" s="8">
        <v>0.16489999999999999</v>
      </c>
      <c r="AN44" s="8">
        <v>0.161</v>
      </c>
      <c r="AO44" s="8">
        <v>0.156</v>
      </c>
      <c r="AP44" s="8">
        <v>0.14180000000000001</v>
      </c>
      <c r="AQ44" s="8"/>
    </row>
    <row r="45" spans="1:46" ht="12.5" x14ac:dyDescent="0.25">
      <c r="A45" s="2">
        <v>4</v>
      </c>
      <c r="B45" s="2">
        <v>18451</v>
      </c>
      <c r="C45" s="8">
        <v>0.63670000000000004</v>
      </c>
      <c r="D45" s="8">
        <v>0.58079999999999998</v>
      </c>
      <c r="E45" s="8">
        <v>0.54090000000000005</v>
      </c>
      <c r="F45" s="8">
        <v>0.51359999999999995</v>
      </c>
      <c r="G45" s="8">
        <v>0.4899</v>
      </c>
      <c r="H45" s="8">
        <v>0.50260000000000005</v>
      </c>
      <c r="I45" s="8">
        <v>0.4632</v>
      </c>
      <c r="J45" s="8">
        <v>0.4375</v>
      </c>
      <c r="K45" s="8">
        <v>0.4108</v>
      </c>
      <c r="L45" s="8">
        <v>0.39500000000000002</v>
      </c>
      <c r="M45" s="8">
        <v>0.37880000000000003</v>
      </c>
      <c r="N45" s="8">
        <v>0.36320000000000002</v>
      </c>
      <c r="O45" s="8">
        <v>0.3503</v>
      </c>
      <c r="P45" s="8">
        <v>0.33860000000000001</v>
      </c>
      <c r="Q45" s="8">
        <v>0.33360000000000001</v>
      </c>
      <c r="R45" s="8">
        <v>0.31990000000000002</v>
      </c>
      <c r="S45" s="8">
        <v>0.30669999999999997</v>
      </c>
      <c r="T45" s="8">
        <v>0.29470000000000002</v>
      </c>
      <c r="U45" s="8">
        <v>0.2868</v>
      </c>
      <c r="V45" s="8">
        <v>0.28449999999999998</v>
      </c>
      <c r="W45" s="8">
        <v>0.27739999999999998</v>
      </c>
      <c r="X45" s="8">
        <v>0.26350000000000001</v>
      </c>
      <c r="Y45" s="8">
        <v>0.25580000000000003</v>
      </c>
      <c r="Z45" s="8">
        <v>0.24729999999999999</v>
      </c>
      <c r="AA45" s="8">
        <v>0.24429999999999999</v>
      </c>
      <c r="AB45" s="8">
        <v>0.2346</v>
      </c>
      <c r="AC45" s="8">
        <v>0.22969999999999999</v>
      </c>
      <c r="AD45" s="8">
        <v>0.22470000000000001</v>
      </c>
      <c r="AE45" s="8">
        <v>0.22159999999999999</v>
      </c>
      <c r="AF45" s="8">
        <v>0.21190000000000001</v>
      </c>
      <c r="AG45" s="8">
        <v>0.20480000000000001</v>
      </c>
      <c r="AH45" s="8">
        <v>0.19769999999999999</v>
      </c>
      <c r="AI45" s="8">
        <v>0.1951</v>
      </c>
      <c r="AJ45" s="8">
        <v>0.1875</v>
      </c>
      <c r="AK45" s="8">
        <v>0.1825</v>
      </c>
      <c r="AL45" s="8">
        <v>0.1769</v>
      </c>
      <c r="AM45" s="8">
        <v>0.16889999999999999</v>
      </c>
      <c r="AN45" s="8">
        <v>0.16589999999999999</v>
      </c>
      <c r="AO45" s="8">
        <v>0.1593</v>
      </c>
      <c r="AP45" s="8">
        <v>0.15329999999999999</v>
      </c>
      <c r="AQ45" s="8">
        <v>0.13289999999999999</v>
      </c>
      <c r="AR45" s="8"/>
    </row>
    <row r="46" spans="1:46" ht="12.5" x14ac:dyDescent="0.25">
      <c r="A46" s="2">
        <v>3</v>
      </c>
      <c r="B46" s="2">
        <v>17045</v>
      </c>
      <c r="C46" s="8">
        <v>0.63119999999999998</v>
      </c>
      <c r="D46" s="8">
        <v>0.57979999999999998</v>
      </c>
      <c r="E46" s="8">
        <v>0.54220000000000002</v>
      </c>
      <c r="F46" s="8">
        <v>0.50990000000000002</v>
      </c>
      <c r="G46" s="8">
        <v>0.48720000000000002</v>
      </c>
      <c r="H46" s="8">
        <v>0.47439999999999999</v>
      </c>
      <c r="I46" s="8">
        <v>0.48499999999999999</v>
      </c>
      <c r="J46" s="8">
        <v>0.44180000000000003</v>
      </c>
      <c r="K46" s="8">
        <v>0.42449999999999999</v>
      </c>
      <c r="L46" s="8">
        <v>0.3947</v>
      </c>
      <c r="M46" s="8">
        <v>0.38450000000000001</v>
      </c>
      <c r="N46" s="8">
        <v>0.36570000000000003</v>
      </c>
      <c r="O46" s="8">
        <v>0.35060000000000002</v>
      </c>
      <c r="P46" s="8">
        <v>0.33889999999999998</v>
      </c>
      <c r="Q46" s="8">
        <v>0.33019999999999999</v>
      </c>
      <c r="R46" s="8">
        <v>0.3241</v>
      </c>
      <c r="S46" s="8">
        <v>0.31069999999999998</v>
      </c>
      <c r="T46" s="8">
        <v>0.29549999999999998</v>
      </c>
      <c r="U46" s="8">
        <v>0.28799999999999998</v>
      </c>
      <c r="V46" s="8">
        <v>0.2858</v>
      </c>
      <c r="W46" s="8">
        <v>0.27729999999999999</v>
      </c>
      <c r="X46" s="8">
        <v>0.26750000000000002</v>
      </c>
      <c r="Y46" s="8">
        <v>0.25940000000000002</v>
      </c>
      <c r="Z46" s="8">
        <v>0.24640000000000001</v>
      </c>
      <c r="AA46" s="8">
        <v>0.2384</v>
      </c>
      <c r="AB46" s="8">
        <v>0.23669999999999999</v>
      </c>
      <c r="AC46" s="8">
        <v>0.23300000000000001</v>
      </c>
      <c r="AD46" s="8">
        <v>0.2293</v>
      </c>
      <c r="AE46" s="8">
        <v>0.2238</v>
      </c>
      <c r="AF46" s="8">
        <v>0.21990000000000001</v>
      </c>
      <c r="AG46" s="8">
        <v>0.2097</v>
      </c>
      <c r="AH46" s="8">
        <v>0.2019</v>
      </c>
      <c r="AI46" s="8">
        <v>0.19450000000000001</v>
      </c>
      <c r="AJ46" s="8">
        <v>0.19009999999999999</v>
      </c>
      <c r="AK46" s="8">
        <v>0.1842</v>
      </c>
      <c r="AL46" s="8">
        <v>0.1802</v>
      </c>
      <c r="AM46" s="8">
        <v>0.1769</v>
      </c>
      <c r="AN46" s="8">
        <v>0.16800000000000001</v>
      </c>
      <c r="AO46" s="8">
        <v>0.16159999999999999</v>
      </c>
      <c r="AP46" s="8">
        <v>0.15459999999999999</v>
      </c>
      <c r="AQ46" s="8">
        <v>0.14979999999999999</v>
      </c>
      <c r="AR46" s="8">
        <v>0.1318</v>
      </c>
      <c r="AS46" s="8"/>
    </row>
    <row r="47" spans="1:46" ht="12.5" x14ac:dyDescent="0.25">
      <c r="A47" s="2">
        <v>2</v>
      </c>
      <c r="B47" s="2">
        <v>15828</v>
      </c>
      <c r="C47" s="8">
        <v>0.62670000000000003</v>
      </c>
      <c r="D47" s="8">
        <v>0.56799999999999995</v>
      </c>
      <c r="E47" s="8">
        <v>0.53420000000000001</v>
      </c>
      <c r="F47" s="8">
        <v>0.50329999999999997</v>
      </c>
      <c r="G47" s="8">
        <v>0.4738</v>
      </c>
      <c r="H47" s="8">
        <v>0.45350000000000001</v>
      </c>
      <c r="I47" s="8">
        <v>0.43930000000000002</v>
      </c>
      <c r="J47" s="8">
        <v>0.45019999999999999</v>
      </c>
      <c r="K47" s="8">
        <v>0.41610000000000003</v>
      </c>
      <c r="L47" s="8">
        <v>0.39950000000000002</v>
      </c>
      <c r="M47" s="8">
        <v>0.37169999999999997</v>
      </c>
      <c r="N47" s="8">
        <v>0.3594</v>
      </c>
      <c r="O47" s="8">
        <v>0.34379999999999999</v>
      </c>
      <c r="P47" s="8">
        <v>0.33079999999999998</v>
      </c>
      <c r="Q47" s="8">
        <v>0.32640000000000002</v>
      </c>
      <c r="R47" s="8">
        <v>0.31490000000000001</v>
      </c>
      <c r="S47" s="8">
        <v>0.3095</v>
      </c>
      <c r="T47" s="9">
        <v>0.3</v>
      </c>
      <c r="U47" s="8">
        <v>0.28560000000000002</v>
      </c>
      <c r="V47" s="8">
        <v>0.28110000000000002</v>
      </c>
      <c r="W47" s="8">
        <v>0.27510000000000001</v>
      </c>
      <c r="X47" s="8">
        <v>0.27260000000000001</v>
      </c>
      <c r="Y47" s="8">
        <v>0.26490000000000002</v>
      </c>
      <c r="Z47" s="8">
        <v>0.25180000000000002</v>
      </c>
      <c r="AA47" s="8">
        <v>0.24160000000000001</v>
      </c>
      <c r="AB47" s="8">
        <v>0.23719999999999999</v>
      </c>
      <c r="AC47" s="8">
        <v>0.2369</v>
      </c>
      <c r="AD47" s="8">
        <v>0.23300000000000001</v>
      </c>
      <c r="AE47" s="8">
        <v>0.22600000000000001</v>
      </c>
      <c r="AF47" s="8">
        <v>0.22059999999999999</v>
      </c>
      <c r="AG47" s="8">
        <v>0.2135</v>
      </c>
      <c r="AH47" s="8">
        <v>0.2082</v>
      </c>
      <c r="AI47" s="8">
        <v>0.2031</v>
      </c>
      <c r="AJ47" s="8">
        <v>0.19500000000000001</v>
      </c>
      <c r="AK47" s="8">
        <v>0.19189999999999999</v>
      </c>
      <c r="AL47" s="8">
        <v>0.18890000000000001</v>
      </c>
      <c r="AM47" s="8">
        <v>0.18229999999999999</v>
      </c>
      <c r="AN47" s="8">
        <v>0.1769</v>
      </c>
      <c r="AO47" s="8">
        <v>0.1696</v>
      </c>
      <c r="AP47" s="8">
        <v>0.1666</v>
      </c>
      <c r="AQ47" s="8">
        <v>0.15859999999999999</v>
      </c>
      <c r="AR47" s="8">
        <v>0.1547</v>
      </c>
      <c r="AS47" s="8">
        <v>0.1371</v>
      </c>
      <c r="AT47" s="8"/>
    </row>
    <row r="48" spans="1:46" ht="12.5" x14ac:dyDescent="0.25">
      <c r="A48" s="2">
        <v>1</v>
      </c>
      <c r="B48" s="2">
        <v>18371</v>
      </c>
      <c r="C48" s="8">
        <v>0.65029999999999999</v>
      </c>
      <c r="D48" s="8">
        <v>0.60599999999999998</v>
      </c>
      <c r="E48" s="8">
        <v>0.56299999999999994</v>
      </c>
      <c r="F48" s="8">
        <v>0.53480000000000005</v>
      </c>
      <c r="G48" s="8">
        <v>0.50639999999999996</v>
      </c>
      <c r="H48" s="8">
        <v>0.4839</v>
      </c>
      <c r="I48" s="8">
        <v>0.4647</v>
      </c>
      <c r="J48" s="8">
        <v>0.45100000000000001</v>
      </c>
      <c r="K48" s="8">
        <v>0.46310000000000001</v>
      </c>
      <c r="L48" s="8">
        <v>0.42649999999999999</v>
      </c>
      <c r="M48" s="8">
        <v>0.40989999999999999</v>
      </c>
      <c r="N48" s="8">
        <v>0.38319999999999999</v>
      </c>
      <c r="O48" s="8">
        <v>0.3725</v>
      </c>
      <c r="P48" s="8">
        <v>0.35859999999999997</v>
      </c>
      <c r="Q48" s="8">
        <v>0.34279999999999999</v>
      </c>
      <c r="R48" s="8">
        <v>0.33069999999999999</v>
      </c>
      <c r="S48" s="8">
        <v>0.3236</v>
      </c>
      <c r="T48" s="8">
        <v>0.31879999999999997</v>
      </c>
      <c r="U48" s="8">
        <v>0.30909999999999999</v>
      </c>
      <c r="V48" s="8">
        <v>0.29880000000000001</v>
      </c>
      <c r="W48" s="8">
        <v>0.2923</v>
      </c>
      <c r="X48" s="8">
        <v>0.28149999999999997</v>
      </c>
      <c r="Y48" s="8">
        <v>0.2747</v>
      </c>
      <c r="Z48" s="8">
        <v>0.26590000000000003</v>
      </c>
      <c r="AA48" s="8">
        <v>0.249</v>
      </c>
      <c r="AB48" s="8">
        <v>0.2442</v>
      </c>
      <c r="AC48" s="8">
        <v>0.23430000000000001</v>
      </c>
      <c r="AD48" s="8">
        <v>0.23180000000000001</v>
      </c>
      <c r="AE48" s="8">
        <v>0.22600000000000001</v>
      </c>
      <c r="AF48" s="8">
        <v>0.2175</v>
      </c>
      <c r="AG48" s="8">
        <v>0.21279999999999999</v>
      </c>
      <c r="AH48" s="8">
        <v>0.20699999999999999</v>
      </c>
      <c r="AI48" s="8">
        <v>0.1991</v>
      </c>
      <c r="AJ48" s="8">
        <v>0.19120000000000001</v>
      </c>
      <c r="AK48" s="8">
        <v>0.1857</v>
      </c>
      <c r="AL48" s="8">
        <v>0.18490000000000001</v>
      </c>
      <c r="AM48" s="8">
        <v>0.18310000000000001</v>
      </c>
      <c r="AN48" s="8">
        <v>0.17710000000000001</v>
      </c>
      <c r="AO48" s="8">
        <v>0.1661</v>
      </c>
      <c r="AP48" s="8">
        <v>0.159</v>
      </c>
      <c r="AQ48" s="8">
        <v>0.15479999999999999</v>
      </c>
      <c r="AR48" s="9">
        <v>0.15</v>
      </c>
      <c r="AS48" s="8">
        <v>0.14829999999999999</v>
      </c>
      <c r="AT48" s="8">
        <v>0.13020000000000001</v>
      </c>
    </row>
    <row r="49" spans="1:46" ht="12.5" x14ac:dyDescent="0.25">
      <c r="A49" s="2"/>
      <c r="B49" s="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1:46" ht="12.5" x14ac:dyDescent="0.25">
      <c r="A50" s="2"/>
      <c r="B50" s="2"/>
    </row>
    <row r="51" spans="1:46" ht="12.5" x14ac:dyDescent="0.25"/>
    <row r="52" spans="1:46" s="32" customFormat="1" ht="35" customHeight="1" x14ac:dyDescent="0.25">
      <c r="A52" s="33" t="s">
        <v>21</v>
      </c>
      <c r="B52" s="33"/>
      <c r="C52" s="34">
        <f>AVERAGE(C5:C48)</f>
        <v>0.56284999999999985</v>
      </c>
      <c r="D52" s="34">
        <f t="shared" ref="D52:AT52" si="0">AVERAGE(D5:D48)</f>
        <v>0.51056046511627906</v>
      </c>
      <c r="E52" s="34">
        <f t="shared" si="0"/>
        <v>0.48403095238095228</v>
      </c>
      <c r="F52" s="34">
        <f t="shared" si="0"/>
        <v>0.46804634146341467</v>
      </c>
      <c r="G52" s="34">
        <f t="shared" si="0"/>
        <v>0.43798999999999993</v>
      </c>
      <c r="H52" s="34">
        <f t="shared" si="0"/>
        <v>0.41785384615384602</v>
      </c>
      <c r="I52" s="34">
        <f t="shared" si="0"/>
        <v>0.40034210526315794</v>
      </c>
      <c r="J52" s="34">
        <f t="shared" si="0"/>
        <v>0.38368918918918926</v>
      </c>
      <c r="K52" s="34">
        <f t="shared" si="0"/>
        <v>0.37076944444444448</v>
      </c>
      <c r="L52" s="34">
        <f t="shared" si="0"/>
        <v>0.35709428571428575</v>
      </c>
      <c r="M52" s="34">
        <f t="shared" si="0"/>
        <v>0.34448235294117646</v>
      </c>
      <c r="N52" s="34">
        <f t="shared" si="0"/>
        <v>0.33129090909090925</v>
      </c>
      <c r="O52" s="34">
        <f t="shared" si="0"/>
        <v>0.32004062500000002</v>
      </c>
      <c r="P52" s="34">
        <f t="shared" si="0"/>
        <v>0.3086387096774193</v>
      </c>
      <c r="Q52" s="34">
        <f t="shared" si="0"/>
        <v>0.29845666666666659</v>
      </c>
      <c r="R52" s="34">
        <f t="shared" si="0"/>
        <v>0.28931034482758622</v>
      </c>
      <c r="S52" s="34">
        <f t="shared" si="0"/>
        <v>0.28015714285714283</v>
      </c>
      <c r="T52" s="34">
        <f t="shared" si="0"/>
        <v>0.27065925925925927</v>
      </c>
      <c r="U52" s="34">
        <f t="shared" si="0"/>
        <v>0.26213076923076922</v>
      </c>
      <c r="V52" s="34">
        <f t="shared" si="0"/>
        <v>0.25597200000000003</v>
      </c>
      <c r="W52" s="34">
        <f t="shared" si="0"/>
        <v>0.24842500000000001</v>
      </c>
      <c r="X52" s="34">
        <f t="shared" si="0"/>
        <v>0.24111304347826085</v>
      </c>
      <c r="Y52" s="34">
        <f t="shared" si="0"/>
        <v>0.23501818181818182</v>
      </c>
      <c r="Z52" s="34">
        <f t="shared" si="0"/>
        <v>0.22861428571428574</v>
      </c>
      <c r="AA52" s="34">
        <f t="shared" si="0"/>
        <v>0.22182499999999999</v>
      </c>
      <c r="AB52" s="34">
        <f t="shared" si="0"/>
        <v>0.2155684210526316</v>
      </c>
      <c r="AC52" s="34">
        <f t="shared" si="0"/>
        <v>0.21115555555555557</v>
      </c>
      <c r="AD52" s="34">
        <f t="shared" si="0"/>
        <v>0.20810000000000001</v>
      </c>
      <c r="AE52" s="34">
        <f t="shared" si="0"/>
        <v>0.20406875000000002</v>
      </c>
      <c r="AF52" s="34">
        <f t="shared" si="0"/>
        <v>0.20181333333333334</v>
      </c>
      <c r="AG52" s="34">
        <f t="shared" si="0"/>
        <v>0.19118571428571429</v>
      </c>
      <c r="AH52" s="34">
        <f t="shared" si="0"/>
        <v>0.18519230769230768</v>
      </c>
      <c r="AI52" s="34">
        <f t="shared" si="0"/>
        <v>0.18044166666666669</v>
      </c>
      <c r="AJ52" s="34">
        <f t="shared" si="0"/>
        <v>0.17654545454545453</v>
      </c>
      <c r="AK52" s="34">
        <f t="shared" si="0"/>
        <v>0.17432999999999998</v>
      </c>
      <c r="AL52" s="34">
        <f t="shared" si="0"/>
        <v>0.17257777777777777</v>
      </c>
      <c r="AM52" s="34">
        <f t="shared" si="0"/>
        <v>0.1696125</v>
      </c>
      <c r="AN52" s="34">
        <f t="shared" si="0"/>
        <v>0.16578571428571429</v>
      </c>
      <c r="AO52" s="34">
        <f t="shared" si="0"/>
        <v>0.15966666666666665</v>
      </c>
      <c r="AP52" s="34">
        <f t="shared" si="0"/>
        <v>0.15506</v>
      </c>
      <c r="AQ52" s="34">
        <f t="shared" si="0"/>
        <v>0.14902499999999996</v>
      </c>
      <c r="AR52" s="34">
        <f t="shared" si="0"/>
        <v>0.14549999999999999</v>
      </c>
      <c r="AS52" s="34">
        <f t="shared" si="0"/>
        <v>0.14269999999999999</v>
      </c>
      <c r="AT52" s="34">
        <f t="shared" si="0"/>
        <v>0.13020000000000001</v>
      </c>
    </row>
    <row r="53" spans="1:46" ht="12.5" x14ac:dyDescent="0.25"/>
    <row r="54" spans="1:46" ht="12.5" x14ac:dyDescent="0.25"/>
    <row r="55" spans="1:46" ht="12.5" x14ac:dyDescent="0.25"/>
    <row r="56" spans="1:46" ht="12.5" x14ac:dyDescent="0.25"/>
    <row r="57" spans="1:46" ht="12.5" x14ac:dyDescent="0.25"/>
    <row r="58" spans="1:46" ht="12.5" x14ac:dyDescent="0.25"/>
    <row r="59" spans="1:46" ht="12.5" x14ac:dyDescent="0.25"/>
    <row r="60" spans="1:46" ht="12.5" x14ac:dyDescent="0.25"/>
    <row r="61" spans="1:46" ht="12.5" x14ac:dyDescent="0.25"/>
    <row r="62" spans="1:46" ht="12.5" x14ac:dyDescent="0.25"/>
    <row r="63" spans="1:46" ht="12.5" x14ac:dyDescent="0.25"/>
    <row r="64" spans="1:46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mergeCells count="2">
    <mergeCell ref="C1:F1"/>
    <mergeCell ref="A52:B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000"/>
  <sheetViews>
    <sheetView topLeftCell="A30" workbookViewId="0">
      <selection activeCell="AB14" sqref="AB14"/>
    </sheetView>
  </sheetViews>
  <sheetFormatPr defaultColWidth="12.6328125" defaultRowHeight="15.75" customHeight="1" x14ac:dyDescent="0.25"/>
  <cols>
    <col min="1" max="1" width="15.36328125" customWidth="1"/>
    <col min="2" max="2" width="14.36328125" customWidth="1"/>
    <col min="3" max="3" width="13.6328125" customWidth="1"/>
    <col min="4" max="46" width="8.90625" customWidth="1"/>
    <col min="47" max="47" width="6.36328125" customWidth="1"/>
    <col min="48" max="48" width="8.6328125" customWidth="1"/>
    <col min="49" max="49" width="11.26953125" customWidth="1"/>
    <col min="50" max="50" width="11.7265625" customWidth="1"/>
    <col min="51" max="52" width="6.36328125" customWidth="1"/>
    <col min="53" max="53" width="5.453125" customWidth="1"/>
  </cols>
  <sheetData>
    <row r="1" spans="1:50" ht="15.75" customHeight="1" x14ac:dyDescent="0.5">
      <c r="A1" s="4" t="s">
        <v>7</v>
      </c>
      <c r="B1" s="2"/>
      <c r="C1" s="16"/>
      <c r="D1" s="17"/>
      <c r="E1" s="17"/>
      <c r="F1" s="17"/>
    </row>
    <row r="2" spans="1:50" ht="15.75" customHeight="1" x14ac:dyDescent="0.25">
      <c r="A2" s="5"/>
      <c r="B2" s="5" t="s">
        <v>4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6">
        <v>32</v>
      </c>
      <c r="AI2" s="6">
        <v>33</v>
      </c>
      <c r="AJ2" s="6">
        <v>34</v>
      </c>
      <c r="AK2" s="6">
        <v>35</v>
      </c>
      <c r="AL2" s="6">
        <v>36</v>
      </c>
      <c r="AM2" s="6">
        <v>37</v>
      </c>
      <c r="AN2" s="6">
        <v>38</v>
      </c>
      <c r="AO2" s="6">
        <v>39</v>
      </c>
      <c r="AP2" s="6">
        <v>40</v>
      </c>
      <c r="AQ2" s="6">
        <v>41</v>
      </c>
      <c r="AR2" s="6">
        <v>42</v>
      </c>
      <c r="AS2" s="6">
        <v>43</v>
      </c>
      <c r="AT2" s="6">
        <v>44</v>
      </c>
    </row>
    <row r="3" spans="1:50" ht="15.75" customHeight="1" x14ac:dyDescent="0.25">
      <c r="A3" s="7"/>
      <c r="B3" s="2"/>
      <c r="C3" t="s">
        <v>8</v>
      </c>
    </row>
    <row r="4" spans="1:50" ht="15.75" customHeight="1" x14ac:dyDescent="0.25">
      <c r="A4" s="2" t="s">
        <v>5</v>
      </c>
      <c r="B4" s="2" t="s">
        <v>6</v>
      </c>
      <c r="C4" s="8"/>
    </row>
    <row r="5" spans="1:50" ht="15.75" customHeight="1" x14ac:dyDescent="0.25">
      <c r="A5" s="2">
        <v>44</v>
      </c>
      <c r="B5" s="2">
        <v>23612</v>
      </c>
      <c r="C5" s="10">
        <v>1227632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W5" s="13"/>
      <c r="AX5" s="13"/>
    </row>
    <row r="6" spans="1:50" ht="15.75" customHeight="1" x14ac:dyDescent="0.25">
      <c r="A6" s="2">
        <v>43</v>
      </c>
      <c r="B6" s="2">
        <v>24301</v>
      </c>
      <c r="C6" s="10">
        <v>1357449</v>
      </c>
      <c r="D6" s="10">
        <v>1080711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W6" s="13"/>
      <c r="AX6" s="13"/>
    </row>
    <row r="7" spans="1:50" ht="15.75" customHeight="1" x14ac:dyDescent="0.25">
      <c r="A7" s="2">
        <v>42</v>
      </c>
      <c r="B7" s="2">
        <v>24460</v>
      </c>
      <c r="C7" s="10">
        <v>1319418</v>
      </c>
      <c r="D7" s="10">
        <v>1155992</v>
      </c>
      <c r="E7" s="10">
        <v>949801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W7" s="13"/>
      <c r="AX7" s="13"/>
    </row>
    <row r="8" spans="1:50" ht="15.75" customHeight="1" x14ac:dyDescent="0.25">
      <c r="A8" s="2">
        <v>41</v>
      </c>
      <c r="B8" s="2">
        <v>24277</v>
      </c>
      <c r="C8" s="10">
        <v>1281076</v>
      </c>
      <c r="D8" s="10">
        <v>1113773</v>
      </c>
      <c r="E8" s="10">
        <v>1019587</v>
      </c>
      <c r="F8" s="10">
        <v>850722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W8" s="13"/>
      <c r="AX8" s="13"/>
    </row>
    <row r="9" spans="1:50" ht="15.75" customHeight="1" x14ac:dyDescent="0.25">
      <c r="A9" s="2">
        <v>40</v>
      </c>
      <c r="B9" s="2">
        <v>25293</v>
      </c>
      <c r="C9" s="10">
        <v>1311443</v>
      </c>
      <c r="D9" s="10">
        <v>1141968</v>
      </c>
      <c r="E9" s="10">
        <v>1033202</v>
      </c>
      <c r="F9" s="10">
        <v>981579</v>
      </c>
      <c r="G9" s="10">
        <v>800806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W9" s="13"/>
      <c r="AX9" s="13"/>
    </row>
    <row r="10" spans="1:50" ht="15.75" customHeight="1" x14ac:dyDescent="0.25">
      <c r="A10" s="2">
        <v>39</v>
      </c>
      <c r="B10" s="2">
        <v>29262</v>
      </c>
      <c r="C10" s="10">
        <v>1612295</v>
      </c>
      <c r="D10" s="10">
        <v>1381495</v>
      </c>
      <c r="E10" s="10">
        <v>1242523</v>
      </c>
      <c r="F10" s="10">
        <v>1153155</v>
      </c>
      <c r="G10" s="10">
        <v>1079821</v>
      </c>
      <c r="H10" s="10">
        <v>906168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W10" s="13"/>
      <c r="AX10" s="13"/>
    </row>
    <row r="11" spans="1:50" ht="15.75" customHeight="1" x14ac:dyDescent="0.25">
      <c r="A11" s="2">
        <v>38</v>
      </c>
      <c r="B11" s="2">
        <v>28848</v>
      </c>
      <c r="C11" s="10">
        <v>1593527</v>
      </c>
      <c r="D11" s="10">
        <v>1371441</v>
      </c>
      <c r="E11" s="10">
        <v>1221391</v>
      </c>
      <c r="F11" s="10">
        <v>1131059</v>
      </c>
      <c r="G11" s="10">
        <v>1038810</v>
      </c>
      <c r="H11" s="10">
        <v>982898</v>
      </c>
      <c r="I11" s="10">
        <v>834855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W11" s="13"/>
      <c r="AX11" s="13"/>
    </row>
    <row r="12" spans="1:50" ht="15.75" customHeight="1" x14ac:dyDescent="0.25">
      <c r="A12" s="2">
        <v>37</v>
      </c>
      <c r="B12" s="2">
        <v>28741</v>
      </c>
      <c r="C12" s="10">
        <v>1297300</v>
      </c>
      <c r="D12" s="10">
        <v>1097352</v>
      </c>
      <c r="E12" s="10">
        <v>993019</v>
      </c>
      <c r="F12" s="10">
        <v>900757</v>
      </c>
      <c r="G12" s="10">
        <v>823370</v>
      </c>
      <c r="H12" s="10">
        <v>749583</v>
      </c>
      <c r="I12" s="10">
        <v>726548</v>
      </c>
      <c r="J12" s="10">
        <v>594969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W12" s="13"/>
      <c r="AX12" s="13"/>
    </row>
    <row r="13" spans="1:50" ht="15.75" customHeight="1" x14ac:dyDescent="0.25">
      <c r="A13" s="2">
        <v>36</v>
      </c>
      <c r="B13" s="2">
        <v>22074</v>
      </c>
      <c r="C13" s="10">
        <v>1135031</v>
      </c>
      <c r="D13" s="10">
        <v>987397</v>
      </c>
      <c r="E13" s="10">
        <v>890021</v>
      </c>
      <c r="F13" s="10">
        <v>838426</v>
      </c>
      <c r="G13" s="10">
        <v>747131</v>
      </c>
      <c r="H13" s="10">
        <v>699514</v>
      </c>
      <c r="I13" s="10">
        <v>655678</v>
      </c>
      <c r="J13" s="10">
        <v>620330</v>
      </c>
      <c r="K13" s="10">
        <v>535751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W13" s="13"/>
      <c r="AX13" s="13"/>
    </row>
    <row r="14" spans="1:50" ht="15.75" customHeight="1" x14ac:dyDescent="0.25">
      <c r="A14" s="2">
        <v>35</v>
      </c>
      <c r="B14" s="2">
        <v>24252</v>
      </c>
      <c r="C14" s="10">
        <v>1375576</v>
      </c>
      <c r="D14" s="10">
        <v>1219418</v>
      </c>
      <c r="E14" s="10">
        <v>1108079</v>
      </c>
      <c r="F14" s="10">
        <v>1037701</v>
      </c>
      <c r="G14" s="10">
        <v>938125</v>
      </c>
      <c r="H14" s="10">
        <v>872662</v>
      </c>
      <c r="I14" s="10">
        <v>826523</v>
      </c>
      <c r="J14" s="10">
        <v>783100</v>
      </c>
      <c r="K14" s="10">
        <v>750039</v>
      </c>
      <c r="L14" s="10">
        <v>643382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W14" s="13"/>
      <c r="AX14" s="13"/>
    </row>
    <row r="15" spans="1:50" ht="15.75" customHeight="1" x14ac:dyDescent="0.25">
      <c r="A15" s="2">
        <v>34</v>
      </c>
      <c r="B15" s="2">
        <v>28525</v>
      </c>
      <c r="C15" s="10">
        <v>1679291</v>
      </c>
      <c r="D15" s="10">
        <v>1491613</v>
      </c>
      <c r="E15" s="10">
        <v>1375858</v>
      </c>
      <c r="F15" s="10">
        <v>1292500</v>
      </c>
      <c r="G15" s="10">
        <v>1191186</v>
      </c>
      <c r="H15" s="10">
        <v>1107638</v>
      </c>
      <c r="I15" s="10">
        <v>1026251</v>
      </c>
      <c r="J15" s="10">
        <v>984333</v>
      </c>
      <c r="K15" s="10">
        <v>941604</v>
      </c>
      <c r="L15" s="10">
        <v>898825</v>
      </c>
      <c r="M15" s="10">
        <v>788433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W15" s="13"/>
      <c r="AX15" s="13"/>
    </row>
    <row r="16" spans="1:50" ht="15.75" customHeight="1" x14ac:dyDescent="0.25">
      <c r="A16" s="2">
        <v>33</v>
      </c>
      <c r="B16" s="2">
        <v>30221</v>
      </c>
      <c r="C16" s="10">
        <v>1828699</v>
      </c>
      <c r="D16" s="10">
        <v>1611742</v>
      </c>
      <c r="E16" s="10">
        <v>1482259</v>
      </c>
      <c r="F16" s="10">
        <v>1415600</v>
      </c>
      <c r="G16" s="10">
        <v>1324010</v>
      </c>
      <c r="H16" s="10">
        <v>1234749</v>
      </c>
      <c r="I16" s="10">
        <v>1156532</v>
      </c>
      <c r="J16" s="10">
        <v>1085470</v>
      </c>
      <c r="K16" s="10">
        <v>1027520</v>
      </c>
      <c r="L16" s="10">
        <v>976396</v>
      </c>
      <c r="M16" s="10">
        <v>948900</v>
      </c>
      <c r="N16" s="10">
        <v>824773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W16" s="13"/>
      <c r="AX16" s="13"/>
    </row>
    <row r="17" spans="1:50" ht="15.75" customHeight="1" x14ac:dyDescent="0.25">
      <c r="A17" s="2">
        <v>32</v>
      </c>
      <c r="B17" s="2">
        <v>26927</v>
      </c>
      <c r="C17" s="10">
        <v>1580102</v>
      </c>
      <c r="D17" s="10">
        <v>1406634</v>
      </c>
      <c r="E17" s="10">
        <v>1303267</v>
      </c>
      <c r="F17" s="10">
        <v>1226511</v>
      </c>
      <c r="G17" s="10">
        <v>1152504</v>
      </c>
      <c r="H17" s="10">
        <v>1076496</v>
      </c>
      <c r="I17" s="10">
        <v>1030514</v>
      </c>
      <c r="J17" s="10">
        <v>951311</v>
      </c>
      <c r="K17" s="10">
        <v>894821</v>
      </c>
      <c r="L17" s="10">
        <v>859476</v>
      </c>
      <c r="M17" s="10">
        <v>812382</v>
      </c>
      <c r="N17" s="10">
        <v>783050</v>
      </c>
      <c r="O17" s="10">
        <v>680706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W17" s="13"/>
      <c r="AX17" s="13"/>
    </row>
    <row r="18" spans="1:50" ht="15.75" customHeight="1" x14ac:dyDescent="0.25">
      <c r="A18" s="2">
        <v>31</v>
      </c>
      <c r="B18" s="2">
        <v>26498</v>
      </c>
      <c r="C18" s="10">
        <v>2279055</v>
      </c>
      <c r="D18" s="10">
        <v>2069948</v>
      </c>
      <c r="E18" s="10">
        <v>1912176</v>
      </c>
      <c r="F18" s="10">
        <v>1787792</v>
      </c>
      <c r="G18" s="10">
        <v>1674124</v>
      </c>
      <c r="H18" s="10">
        <v>1588370</v>
      </c>
      <c r="I18" s="10">
        <v>1513405</v>
      </c>
      <c r="J18" s="10">
        <v>1431327</v>
      </c>
      <c r="K18" s="10">
        <v>1340997</v>
      </c>
      <c r="L18" s="10">
        <v>1262396</v>
      </c>
      <c r="M18" s="10">
        <v>1221733</v>
      </c>
      <c r="N18" s="10">
        <v>1161497</v>
      </c>
      <c r="O18" s="10">
        <v>1123224</v>
      </c>
      <c r="P18" s="10">
        <v>987762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W18" s="13"/>
      <c r="AX18" s="13"/>
    </row>
    <row r="19" spans="1:50" ht="15.75" customHeight="1" x14ac:dyDescent="0.25">
      <c r="A19" s="2">
        <v>30</v>
      </c>
      <c r="B19" s="2">
        <v>27814</v>
      </c>
      <c r="C19" s="10">
        <v>2325600</v>
      </c>
      <c r="D19" s="10">
        <v>2110732</v>
      </c>
      <c r="E19" s="10">
        <v>1980177</v>
      </c>
      <c r="F19" s="10">
        <v>1880772</v>
      </c>
      <c r="G19" s="10">
        <v>1738445</v>
      </c>
      <c r="H19" s="10">
        <v>1630768</v>
      </c>
      <c r="I19" s="10">
        <v>1569076</v>
      </c>
      <c r="J19" s="10">
        <v>1497374</v>
      </c>
      <c r="K19" s="10">
        <v>1421860</v>
      </c>
      <c r="L19" s="10">
        <v>1338013</v>
      </c>
      <c r="M19" s="10">
        <v>1257443</v>
      </c>
      <c r="N19" s="10">
        <v>1204075</v>
      </c>
      <c r="O19" s="10">
        <v>1154378</v>
      </c>
      <c r="P19" s="10">
        <v>1107758</v>
      </c>
      <c r="Q19" s="10">
        <v>978043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W19" s="13"/>
      <c r="AX19" s="13"/>
    </row>
    <row r="20" spans="1:50" ht="15.75" customHeight="1" x14ac:dyDescent="0.25">
      <c r="A20" s="2">
        <v>29</v>
      </c>
      <c r="B20" s="2">
        <v>27664</v>
      </c>
      <c r="C20" s="10">
        <v>2246265</v>
      </c>
      <c r="D20" s="10">
        <v>2043820</v>
      </c>
      <c r="E20" s="10">
        <v>1951480</v>
      </c>
      <c r="F20" s="10">
        <v>1884366</v>
      </c>
      <c r="G20" s="10">
        <v>1759005</v>
      </c>
      <c r="H20" s="10">
        <v>1656125</v>
      </c>
      <c r="I20" s="10">
        <v>1568515</v>
      </c>
      <c r="J20" s="10">
        <v>1512910</v>
      </c>
      <c r="K20" s="10">
        <v>1435391</v>
      </c>
      <c r="L20" s="10">
        <v>1349908</v>
      </c>
      <c r="M20" s="10">
        <v>1305080</v>
      </c>
      <c r="N20" s="10">
        <v>1223243</v>
      </c>
      <c r="O20" s="10">
        <v>1173896</v>
      </c>
      <c r="P20" s="10">
        <v>1129033</v>
      </c>
      <c r="Q20" s="10">
        <v>1095438</v>
      </c>
      <c r="R20" s="10">
        <v>949092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W20" s="13"/>
      <c r="AX20" s="13"/>
    </row>
    <row r="21" spans="1:50" ht="15.75" customHeight="1" x14ac:dyDescent="0.25">
      <c r="A21" s="2">
        <v>28</v>
      </c>
      <c r="B21" s="2">
        <v>26366</v>
      </c>
      <c r="C21" s="10">
        <v>2005552</v>
      </c>
      <c r="D21" s="10">
        <v>1896017</v>
      </c>
      <c r="E21" s="10">
        <v>1900346</v>
      </c>
      <c r="F21" s="10">
        <v>1964393</v>
      </c>
      <c r="G21" s="10">
        <v>1826705</v>
      </c>
      <c r="H21" s="10">
        <v>1724434</v>
      </c>
      <c r="I21" s="10">
        <v>1621064</v>
      </c>
      <c r="J21" s="10">
        <v>1548020</v>
      </c>
      <c r="K21" s="10">
        <v>1486159</v>
      </c>
      <c r="L21" s="10">
        <v>1421874</v>
      </c>
      <c r="M21" s="10">
        <v>1353020</v>
      </c>
      <c r="N21" s="10">
        <v>1279874</v>
      </c>
      <c r="O21" s="10">
        <v>1206551</v>
      </c>
      <c r="P21" s="10">
        <v>1149325</v>
      </c>
      <c r="Q21" s="10">
        <v>1107060</v>
      </c>
      <c r="R21" s="10">
        <v>1072462</v>
      </c>
      <c r="S21" s="10">
        <v>939360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W21" s="13"/>
      <c r="AX21" s="13"/>
    </row>
    <row r="22" spans="1:50" ht="12.5" x14ac:dyDescent="0.25">
      <c r="A22" s="2">
        <v>27</v>
      </c>
      <c r="B22" s="2">
        <v>26140</v>
      </c>
      <c r="C22" s="10">
        <v>1976575</v>
      </c>
      <c r="D22" s="10">
        <v>1842840</v>
      </c>
      <c r="E22" s="10">
        <v>1829549</v>
      </c>
      <c r="F22" s="10">
        <v>1859419</v>
      </c>
      <c r="G22" s="10">
        <v>1753773</v>
      </c>
      <c r="H22" s="10">
        <v>1678166</v>
      </c>
      <c r="I22" s="10">
        <v>1593898</v>
      </c>
      <c r="J22" s="10">
        <v>1489959</v>
      </c>
      <c r="K22" s="10">
        <v>1415900</v>
      </c>
      <c r="L22" s="10">
        <v>1386429</v>
      </c>
      <c r="M22" s="10">
        <v>1325239</v>
      </c>
      <c r="N22" s="10">
        <v>1263314</v>
      </c>
      <c r="O22" s="10">
        <v>1193968</v>
      </c>
      <c r="P22" s="10">
        <v>1135146</v>
      </c>
      <c r="Q22" s="10">
        <v>1092451</v>
      </c>
      <c r="R22" s="10">
        <v>1043744</v>
      </c>
      <c r="S22" s="10">
        <v>1012785</v>
      </c>
      <c r="T22" s="10">
        <v>894019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W22" s="13"/>
      <c r="AX22" s="13"/>
    </row>
    <row r="23" spans="1:50" ht="12.5" x14ac:dyDescent="0.25">
      <c r="A23" s="2">
        <v>26</v>
      </c>
      <c r="B23" s="2">
        <v>28800</v>
      </c>
      <c r="C23" s="10">
        <v>1807941</v>
      </c>
      <c r="D23" s="10">
        <v>1723157</v>
      </c>
      <c r="E23" s="10">
        <v>1775059</v>
      </c>
      <c r="F23" s="10">
        <v>1803132</v>
      </c>
      <c r="G23" s="10">
        <v>1716746</v>
      </c>
      <c r="H23" s="10">
        <v>1670033</v>
      </c>
      <c r="I23" s="10">
        <v>1609611</v>
      </c>
      <c r="J23" s="10">
        <v>1546248</v>
      </c>
      <c r="K23" s="10">
        <v>1477518</v>
      </c>
      <c r="L23" s="10">
        <v>1400078</v>
      </c>
      <c r="M23" s="10">
        <v>1369033</v>
      </c>
      <c r="N23" s="10">
        <v>1325859</v>
      </c>
      <c r="O23" s="10">
        <v>1264524</v>
      </c>
      <c r="P23" s="10">
        <v>1198806</v>
      </c>
      <c r="Q23" s="10">
        <v>1121419</v>
      </c>
      <c r="R23" s="10">
        <v>1093294</v>
      </c>
      <c r="S23" s="10">
        <v>1049724</v>
      </c>
      <c r="T23" s="10">
        <v>1006468</v>
      </c>
      <c r="U23" s="10">
        <v>902854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W23" s="13"/>
      <c r="AX23" s="13"/>
    </row>
    <row r="24" spans="1:50" ht="12.5" x14ac:dyDescent="0.25">
      <c r="A24" s="2">
        <v>25</v>
      </c>
      <c r="B24" s="2">
        <v>31688</v>
      </c>
      <c r="C24" s="10">
        <v>2582847</v>
      </c>
      <c r="D24" s="10">
        <v>2317705</v>
      </c>
      <c r="E24" s="10">
        <v>2240186</v>
      </c>
      <c r="F24" s="10">
        <v>2261999</v>
      </c>
      <c r="G24" s="10">
        <v>2116625</v>
      </c>
      <c r="H24" s="10">
        <v>2025718</v>
      </c>
      <c r="I24" s="10">
        <v>1942633</v>
      </c>
      <c r="J24" s="10">
        <v>1873125</v>
      </c>
      <c r="K24" s="10">
        <v>1791439</v>
      </c>
      <c r="L24" s="10">
        <v>1707776</v>
      </c>
      <c r="M24" s="10">
        <v>1628415</v>
      </c>
      <c r="N24" s="10">
        <v>1577134</v>
      </c>
      <c r="O24" s="10">
        <v>1520194</v>
      </c>
      <c r="P24" s="10">
        <v>1455017</v>
      </c>
      <c r="Q24" s="10">
        <v>1375037</v>
      </c>
      <c r="R24" s="10">
        <v>1310980</v>
      </c>
      <c r="S24" s="10">
        <v>1268044</v>
      </c>
      <c r="T24" s="10">
        <v>1208210</v>
      </c>
      <c r="U24" s="10">
        <v>1190294</v>
      </c>
      <c r="V24" s="10">
        <v>1038133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W24" s="13"/>
      <c r="AX24" s="13"/>
    </row>
    <row r="25" spans="1:50" ht="12.5" x14ac:dyDescent="0.25">
      <c r="A25" s="2">
        <v>24</v>
      </c>
      <c r="B25" s="2">
        <v>30330</v>
      </c>
      <c r="C25" s="10">
        <v>2666364</v>
      </c>
      <c r="D25" s="10">
        <v>2336595</v>
      </c>
      <c r="E25" s="10">
        <v>2188341</v>
      </c>
      <c r="F25" s="10">
        <v>2149685</v>
      </c>
      <c r="G25" s="10">
        <v>2013204</v>
      </c>
      <c r="H25" s="10">
        <v>1916264</v>
      </c>
      <c r="I25" s="10">
        <v>1838429</v>
      </c>
      <c r="J25" s="10">
        <v>1769657</v>
      </c>
      <c r="K25" s="10">
        <v>1705164</v>
      </c>
      <c r="L25" s="10">
        <v>1629626</v>
      </c>
      <c r="M25" s="10">
        <v>1544555</v>
      </c>
      <c r="N25" s="10">
        <v>1463991</v>
      </c>
      <c r="O25" s="10">
        <v>1457187</v>
      </c>
      <c r="P25" s="10">
        <v>1399525</v>
      </c>
      <c r="Q25" s="10">
        <v>1327908</v>
      </c>
      <c r="R25" s="10">
        <v>1250264</v>
      </c>
      <c r="S25" s="10">
        <v>1195637</v>
      </c>
      <c r="T25" s="10">
        <v>1148664</v>
      </c>
      <c r="U25" s="10">
        <v>1110169</v>
      </c>
      <c r="V25" s="10">
        <v>1090054</v>
      </c>
      <c r="W25" s="10">
        <v>954897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W25" s="13"/>
      <c r="AX25" s="13"/>
    </row>
    <row r="26" spans="1:50" ht="12.5" x14ac:dyDescent="0.25">
      <c r="A26" s="2">
        <v>23</v>
      </c>
      <c r="B26" s="2">
        <v>24364</v>
      </c>
      <c r="C26" s="10">
        <v>997727</v>
      </c>
      <c r="D26" s="10">
        <v>908475</v>
      </c>
      <c r="E26" s="10">
        <v>841119</v>
      </c>
      <c r="F26" s="10">
        <v>793707</v>
      </c>
      <c r="G26" s="10">
        <v>752663</v>
      </c>
      <c r="H26" s="10">
        <v>722744</v>
      </c>
      <c r="I26" s="10">
        <v>689548</v>
      </c>
      <c r="J26" s="10">
        <v>659681</v>
      </c>
      <c r="K26" s="10">
        <v>638021</v>
      </c>
      <c r="L26" s="10">
        <v>614793</v>
      </c>
      <c r="M26" s="10">
        <v>586038</v>
      </c>
      <c r="N26" s="10">
        <v>553108</v>
      </c>
      <c r="O26" s="10">
        <v>533481</v>
      </c>
      <c r="P26" s="10">
        <v>522024</v>
      </c>
      <c r="Q26" s="10">
        <v>497135</v>
      </c>
      <c r="R26" s="10">
        <v>475330</v>
      </c>
      <c r="S26" s="10">
        <v>452595</v>
      </c>
      <c r="T26" s="10">
        <v>432684</v>
      </c>
      <c r="U26" s="10">
        <v>418652</v>
      </c>
      <c r="V26" s="10">
        <v>404687</v>
      </c>
      <c r="W26" s="10">
        <v>392728</v>
      </c>
      <c r="X26" s="10">
        <v>343613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W26" s="13"/>
      <c r="AX26" s="13"/>
    </row>
    <row r="27" spans="1:50" ht="12.5" x14ac:dyDescent="0.25">
      <c r="A27" s="2">
        <v>22</v>
      </c>
      <c r="B27" s="2">
        <v>21213</v>
      </c>
      <c r="C27" s="10">
        <v>847831</v>
      </c>
      <c r="D27" s="10">
        <v>780892</v>
      </c>
      <c r="E27" s="10">
        <v>745038</v>
      </c>
      <c r="F27" s="10">
        <v>704010</v>
      </c>
      <c r="G27" s="10">
        <v>650094</v>
      </c>
      <c r="H27" s="10">
        <v>631665</v>
      </c>
      <c r="I27" s="10">
        <v>600109</v>
      </c>
      <c r="J27" s="10">
        <v>568105</v>
      </c>
      <c r="K27" s="10">
        <v>546441</v>
      </c>
      <c r="L27" s="10">
        <v>533119</v>
      </c>
      <c r="M27" s="10">
        <v>513418</v>
      </c>
      <c r="N27" s="10">
        <v>492712</v>
      </c>
      <c r="O27" s="10">
        <v>460950</v>
      </c>
      <c r="P27" s="10">
        <v>451929</v>
      </c>
      <c r="Q27" s="10">
        <v>439446</v>
      </c>
      <c r="R27" s="10">
        <v>417824</v>
      </c>
      <c r="S27" s="10">
        <v>405145</v>
      </c>
      <c r="T27" s="10">
        <v>381143</v>
      </c>
      <c r="U27" s="10">
        <v>359176</v>
      </c>
      <c r="V27" s="10">
        <v>350411</v>
      </c>
      <c r="W27" s="10">
        <v>335390</v>
      </c>
      <c r="X27" s="10">
        <v>331084</v>
      </c>
      <c r="Y27" s="10">
        <v>293840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W27" s="13"/>
      <c r="AX27" s="13"/>
    </row>
    <row r="28" spans="1:50" ht="12.5" x14ac:dyDescent="0.25">
      <c r="A28" s="2">
        <v>21</v>
      </c>
      <c r="B28" s="2">
        <v>24263</v>
      </c>
      <c r="C28" s="10">
        <v>989500</v>
      </c>
      <c r="D28" s="10">
        <v>908369</v>
      </c>
      <c r="E28" s="10">
        <v>866051</v>
      </c>
      <c r="F28" s="10">
        <v>829815</v>
      </c>
      <c r="G28" s="10">
        <v>760686</v>
      </c>
      <c r="H28" s="10">
        <v>715586</v>
      </c>
      <c r="I28" s="10">
        <v>695817</v>
      </c>
      <c r="J28" s="10">
        <v>657850</v>
      </c>
      <c r="K28" s="10">
        <v>624804</v>
      </c>
      <c r="L28" s="10">
        <v>605650</v>
      </c>
      <c r="M28" s="10">
        <v>586104</v>
      </c>
      <c r="N28" s="10">
        <v>565678</v>
      </c>
      <c r="O28" s="10">
        <v>540797</v>
      </c>
      <c r="P28" s="10">
        <v>510694</v>
      </c>
      <c r="Q28" s="10">
        <v>494579</v>
      </c>
      <c r="R28" s="10">
        <v>485408</v>
      </c>
      <c r="S28" s="10">
        <v>470980</v>
      </c>
      <c r="T28" s="10">
        <v>449439</v>
      </c>
      <c r="U28" s="10">
        <v>427029</v>
      </c>
      <c r="V28" s="10">
        <v>406035</v>
      </c>
      <c r="W28" s="10">
        <v>395701</v>
      </c>
      <c r="X28" s="10">
        <v>381243</v>
      </c>
      <c r="Y28" s="10">
        <v>371483</v>
      </c>
      <c r="Z28" s="10">
        <v>324229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W28" s="13"/>
      <c r="AX28" s="13"/>
    </row>
    <row r="29" spans="1:50" ht="12.5" x14ac:dyDescent="0.25">
      <c r="A29" s="2">
        <v>20</v>
      </c>
      <c r="B29" s="2">
        <v>24753</v>
      </c>
      <c r="C29" s="10">
        <v>1057971</v>
      </c>
      <c r="D29" s="10">
        <v>963239</v>
      </c>
      <c r="E29" s="10">
        <v>923316</v>
      </c>
      <c r="F29" s="10">
        <v>904657</v>
      </c>
      <c r="G29" s="10">
        <v>845057</v>
      </c>
      <c r="H29" s="10">
        <v>778203</v>
      </c>
      <c r="I29" s="10">
        <v>736890</v>
      </c>
      <c r="J29" s="10">
        <v>723775</v>
      </c>
      <c r="K29" s="10">
        <v>681586</v>
      </c>
      <c r="L29" s="10">
        <v>647521</v>
      </c>
      <c r="M29" s="10">
        <v>624163</v>
      </c>
      <c r="N29" s="10">
        <v>604494</v>
      </c>
      <c r="O29" s="10">
        <v>584807</v>
      </c>
      <c r="P29" s="10">
        <v>558458</v>
      </c>
      <c r="Q29" s="10">
        <v>531777</v>
      </c>
      <c r="R29" s="10">
        <v>506637</v>
      </c>
      <c r="S29" s="10">
        <v>497948</v>
      </c>
      <c r="T29" s="10">
        <v>479403</v>
      </c>
      <c r="U29" s="10">
        <v>457826</v>
      </c>
      <c r="V29" s="10">
        <v>439217</v>
      </c>
      <c r="W29" s="10">
        <v>413877</v>
      </c>
      <c r="X29" s="10">
        <v>398781</v>
      </c>
      <c r="Y29" s="10">
        <v>386384</v>
      </c>
      <c r="Z29" s="10">
        <v>376339</v>
      </c>
      <c r="AA29" s="10">
        <v>331654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W29" s="13"/>
      <c r="AX29" s="13"/>
    </row>
    <row r="30" spans="1:50" ht="12.5" x14ac:dyDescent="0.25">
      <c r="A30" s="2">
        <v>19</v>
      </c>
      <c r="B30" s="2">
        <v>18337</v>
      </c>
      <c r="C30" s="10">
        <v>727217</v>
      </c>
      <c r="D30" s="10">
        <v>664548</v>
      </c>
      <c r="E30" s="10">
        <v>650337</v>
      </c>
      <c r="F30" s="10">
        <v>651175</v>
      </c>
      <c r="G30" s="10">
        <v>605819</v>
      </c>
      <c r="H30" s="10">
        <v>570434</v>
      </c>
      <c r="I30" s="10">
        <v>531251</v>
      </c>
      <c r="J30" s="10">
        <v>503798</v>
      </c>
      <c r="K30" s="10">
        <v>489773</v>
      </c>
      <c r="L30" s="10">
        <v>471437</v>
      </c>
      <c r="M30" s="10">
        <v>445526</v>
      </c>
      <c r="N30" s="10">
        <v>432927</v>
      </c>
      <c r="O30" s="10">
        <v>418877</v>
      </c>
      <c r="P30" s="10">
        <v>399437</v>
      </c>
      <c r="Q30" s="10">
        <v>383154</v>
      </c>
      <c r="R30" s="10">
        <v>367219</v>
      </c>
      <c r="S30" s="10">
        <v>352087</v>
      </c>
      <c r="T30" s="10">
        <v>349927</v>
      </c>
      <c r="U30" s="10">
        <v>330135</v>
      </c>
      <c r="V30" s="10">
        <v>320131</v>
      </c>
      <c r="W30" s="10">
        <v>301688</v>
      </c>
      <c r="X30" s="10">
        <v>285169</v>
      </c>
      <c r="Y30" s="10">
        <v>275250</v>
      </c>
      <c r="Z30" s="10">
        <v>268017</v>
      </c>
      <c r="AA30" s="10">
        <v>255929</v>
      </c>
      <c r="AB30" s="10">
        <v>227021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W30" s="13"/>
      <c r="AX30" s="13"/>
    </row>
    <row r="31" spans="1:50" ht="12.5" x14ac:dyDescent="0.25">
      <c r="A31" s="2">
        <v>18</v>
      </c>
      <c r="B31" s="2">
        <v>14603</v>
      </c>
      <c r="C31" s="10">
        <v>551474</v>
      </c>
      <c r="D31" s="10">
        <v>502221</v>
      </c>
      <c r="E31" s="10">
        <v>468818</v>
      </c>
      <c r="F31" s="10">
        <v>460984</v>
      </c>
      <c r="G31" s="10">
        <v>425669</v>
      </c>
      <c r="H31" s="10">
        <v>402012</v>
      </c>
      <c r="I31" s="10">
        <v>379652</v>
      </c>
      <c r="J31" s="10">
        <v>349683</v>
      </c>
      <c r="K31" s="10">
        <v>332402</v>
      </c>
      <c r="L31" s="10">
        <v>328454</v>
      </c>
      <c r="M31" s="10">
        <v>312783</v>
      </c>
      <c r="N31" s="10">
        <v>298221</v>
      </c>
      <c r="O31" s="10">
        <v>286170</v>
      </c>
      <c r="P31" s="10">
        <v>273956</v>
      </c>
      <c r="Q31" s="10">
        <v>266951</v>
      </c>
      <c r="R31" s="10">
        <v>260436</v>
      </c>
      <c r="S31" s="10">
        <v>243431</v>
      </c>
      <c r="T31" s="10">
        <v>235333</v>
      </c>
      <c r="U31" s="10">
        <v>233011</v>
      </c>
      <c r="V31" s="10">
        <v>222794</v>
      </c>
      <c r="W31" s="10">
        <v>213366</v>
      </c>
      <c r="X31" s="10">
        <v>204305</v>
      </c>
      <c r="Y31" s="10">
        <v>191973</v>
      </c>
      <c r="Z31" s="10">
        <v>185772</v>
      </c>
      <c r="AA31" s="10">
        <v>179948</v>
      </c>
      <c r="AB31" s="10">
        <v>174450</v>
      </c>
      <c r="AC31" s="10">
        <v>152824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W31" s="13"/>
      <c r="AX31" s="13"/>
    </row>
    <row r="32" spans="1:50" ht="12.5" x14ac:dyDescent="0.25">
      <c r="A32" s="2">
        <v>17</v>
      </c>
      <c r="B32" s="2">
        <v>14565</v>
      </c>
      <c r="C32" s="10">
        <v>559303</v>
      </c>
      <c r="D32" s="10">
        <v>498926</v>
      </c>
      <c r="E32" s="10">
        <v>473536</v>
      </c>
      <c r="F32" s="10">
        <v>449956</v>
      </c>
      <c r="G32" s="10">
        <v>420098</v>
      </c>
      <c r="H32" s="10">
        <v>400236</v>
      </c>
      <c r="I32" s="10">
        <v>386340</v>
      </c>
      <c r="J32" s="10">
        <v>360949</v>
      </c>
      <c r="K32" s="10">
        <v>331890</v>
      </c>
      <c r="L32" s="10">
        <v>315996</v>
      </c>
      <c r="M32" s="10">
        <v>311187</v>
      </c>
      <c r="N32" s="10">
        <v>294981</v>
      </c>
      <c r="O32" s="10">
        <v>284107</v>
      </c>
      <c r="P32" s="10">
        <v>273205</v>
      </c>
      <c r="Q32" s="10">
        <v>264674</v>
      </c>
      <c r="R32" s="10">
        <v>259607</v>
      </c>
      <c r="S32" s="10">
        <v>244870</v>
      </c>
      <c r="T32" s="10">
        <v>231940</v>
      </c>
      <c r="U32" s="10">
        <v>227463</v>
      </c>
      <c r="V32" s="10">
        <v>222050</v>
      </c>
      <c r="W32" s="10">
        <v>213364</v>
      </c>
      <c r="X32" s="10">
        <v>201930</v>
      </c>
      <c r="Y32" s="10">
        <v>194233</v>
      </c>
      <c r="Z32" s="10">
        <v>186588</v>
      </c>
      <c r="AA32" s="10">
        <v>180918</v>
      </c>
      <c r="AB32" s="10">
        <v>173429</v>
      </c>
      <c r="AC32" s="10">
        <v>167653</v>
      </c>
      <c r="AD32" s="10">
        <v>144071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W32" s="13"/>
      <c r="AX32" s="13"/>
    </row>
    <row r="33" spans="1:50" ht="12.5" x14ac:dyDescent="0.25">
      <c r="A33" s="2">
        <v>16</v>
      </c>
      <c r="B33" s="2">
        <v>14336</v>
      </c>
      <c r="C33" s="10">
        <v>558535</v>
      </c>
      <c r="D33" s="10">
        <v>497887</v>
      </c>
      <c r="E33" s="10">
        <v>473921</v>
      </c>
      <c r="F33" s="10">
        <v>463124</v>
      </c>
      <c r="G33" s="10">
        <v>420681</v>
      </c>
      <c r="H33" s="10">
        <v>398008</v>
      </c>
      <c r="I33" s="10">
        <v>382275</v>
      </c>
      <c r="J33" s="10">
        <v>369836</v>
      </c>
      <c r="K33" s="10">
        <v>348550</v>
      </c>
      <c r="L33" s="10">
        <v>322040</v>
      </c>
      <c r="M33" s="10">
        <v>304837</v>
      </c>
      <c r="N33" s="10">
        <v>296907</v>
      </c>
      <c r="O33" s="10">
        <v>289931</v>
      </c>
      <c r="P33" s="10">
        <v>278857</v>
      </c>
      <c r="Q33" s="10">
        <v>267118</v>
      </c>
      <c r="R33" s="10">
        <v>258256</v>
      </c>
      <c r="S33" s="10">
        <v>253800</v>
      </c>
      <c r="T33" s="10">
        <v>240909</v>
      </c>
      <c r="U33" s="10">
        <v>224995</v>
      </c>
      <c r="V33" s="10">
        <v>215895</v>
      </c>
      <c r="W33" s="10">
        <v>214571</v>
      </c>
      <c r="X33" s="10">
        <v>208122</v>
      </c>
      <c r="Y33" s="10">
        <v>197851</v>
      </c>
      <c r="Z33" s="10">
        <v>187924</v>
      </c>
      <c r="AA33" s="10">
        <v>174817</v>
      </c>
      <c r="AB33" s="10">
        <v>170870</v>
      </c>
      <c r="AC33" s="10">
        <v>166443</v>
      </c>
      <c r="AD33" s="10">
        <v>161600</v>
      </c>
      <c r="AE33" s="10">
        <v>139586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W33" s="13"/>
      <c r="AX33" s="13"/>
    </row>
    <row r="34" spans="1:50" ht="12.5" x14ac:dyDescent="0.25">
      <c r="A34" s="2">
        <v>15</v>
      </c>
      <c r="B34" s="2">
        <v>27968</v>
      </c>
      <c r="C34" s="10">
        <v>915670</v>
      </c>
      <c r="D34" s="10">
        <v>1078603</v>
      </c>
      <c r="E34" s="10">
        <v>1319055</v>
      </c>
      <c r="F34" s="10">
        <v>1447150</v>
      </c>
      <c r="G34" s="10">
        <v>1341794</v>
      </c>
      <c r="H34" s="10">
        <v>1240229</v>
      </c>
      <c r="I34" s="10">
        <v>1169293</v>
      </c>
      <c r="J34" s="10">
        <v>1123668</v>
      </c>
      <c r="K34" s="10">
        <v>1075034</v>
      </c>
      <c r="L34" s="10">
        <v>1023661</v>
      </c>
      <c r="M34" s="10">
        <v>970779</v>
      </c>
      <c r="N34" s="10">
        <v>931760</v>
      </c>
      <c r="O34" s="10">
        <v>895324</v>
      </c>
      <c r="P34" s="10">
        <v>853554</v>
      </c>
      <c r="Q34" s="10">
        <v>806726</v>
      </c>
      <c r="R34" s="10">
        <v>780589</v>
      </c>
      <c r="S34" s="10">
        <v>760059</v>
      </c>
      <c r="T34" s="10">
        <v>743921</v>
      </c>
      <c r="U34" s="10">
        <v>706362</v>
      </c>
      <c r="V34" s="10">
        <v>675391</v>
      </c>
      <c r="W34" s="10">
        <v>647264</v>
      </c>
      <c r="X34" s="10">
        <v>634189</v>
      </c>
      <c r="Y34" s="10">
        <v>613863</v>
      </c>
      <c r="Z34" s="10">
        <v>589295</v>
      </c>
      <c r="AA34" s="10">
        <v>562654</v>
      </c>
      <c r="AB34" s="10">
        <v>535611</v>
      </c>
      <c r="AC34" s="10">
        <v>520399</v>
      </c>
      <c r="AD34" s="10">
        <v>505670</v>
      </c>
      <c r="AE34" s="10">
        <v>491405</v>
      </c>
      <c r="AF34" s="10">
        <v>455939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W34" s="13"/>
      <c r="AX34" s="13"/>
    </row>
    <row r="35" spans="1:50" ht="12.5" x14ac:dyDescent="0.25">
      <c r="A35" s="2">
        <v>14</v>
      </c>
      <c r="B35" s="2">
        <v>14311</v>
      </c>
      <c r="C35" s="10">
        <v>633857</v>
      </c>
      <c r="D35" s="10">
        <v>572185</v>
      </c>
      <c r="E35" s="10">
        <v>545443</v>
      </c>
      <c r="F35" s="10">
        <v>533125</v>
      </c>
      <c r="G35" s="10">
        <v>501227</v>
      </c>
      <c r="H35" s="10">
        <v>478153</v>
      </c>
      <c r="I35" s="10">
        <v>450210</v>
      </c>
      <c r="J35" s="10">
        <v>431164</v>
      </c>
      <c r="K35" s="10">
        <v>417093</v>
      </c>
      <c r="L35" s="10">
        <v>401125</v>
      </c>
      <c r="M35" s="10">
        <v>384871</v>
      </c>
      <c r="N35" s="10">
        <v>360020</v>
      </c>
      <c r="O35" s="10">
        <v>348219</v>
      </c>
      <c r="P35" s="10">
        <v>332398</v>
      </c>
      <c r="Q35" s="10">
        <v>319292</v>
      </c>
      <c r="R35" s="10">
        <v>309458</v>
      </c>
      <c r="S35" s="10">
        <v>299993</v>
      </c>
      <c r="T35" s="10">
        <v>292443</v>
      </c>
      <c r="U35" s="10">
        <v>285619</v>
      </c>
      <c r="V35" s="10">
        <v>277406</v>
      </c>
      <c r="W35" s="10">
        <v>261068</v>
      </c>
      <c r="X35" s="10">
        <v>246981</v>
      </c>
      <c r="Y35" s="10">
        <v>247505</v>
      </c>
      <c r="Z35" s="10">
        <v>236071</v>
      </c>
      <c r="AA35" s="10">
        <v>233052</v>
      </c>
      <c r="AB35" s="10">
        <v>219551</v>
      </c>
      <c r="AC35" s="10">
        <v>211025</v>
      </c>
      <c r="AD35" s="10">
        <v>202848</v>
      </c>
      <c r="AE35" s="10">
        <v>197886</v>
      </c>
      <c r="AF35" s="10">
        <v>192660</v>
      </c>
      <c r="AG35" s="10">
        <v>172740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W35" s="13"/>
      <c r="AX35" s="13"/>
    </row>
    <row r="36" spans="1:50" ht="12.5" x14ac:dyDescent="0.25">
      <c r="A36" s="2">
        <v>13</v>
      </c>
      <c r="B36" s="2">
        <v>11567</v>
      </c>
      <c r="C36" s="10">
        <v>489699</v>
      </c>
      <c r="D36" s="10">
        <v>440397</v>
      </c>
      <c r="E36" s="10">
        <v>407514</v>
      </c>
      <c r="F36" s="10">
        <v>393878</v>
      </c>
      <c r="G36" s="10">
        <v>365191</v>
      </c>
      <c r="H36" s="10">
        <v>355012</v>
      </c>
      <c r="I36" s="10">
        <v>337123</v>
      </c>
      <c r="J36" s="10">
        <v>318480</v>
      </c>
      <c r="K36" s="10">
        <v>304949</v>
      </c>
      <c r="L36" s="10">
        <v>296813</v>
      </c>
      <c r="M36" s="10">
        <v>283702</v>
      </c>
      <c r="N36" s="10">
        <v>271588</v>
      </c>
      <c r="O36" s="10">
        <v>253879</v>
      </c>
      <c r="P36" s="10">
        <v>246494</v>
      </c>
      <c r="Q36" s="10">
        <v>236985</v>
      </c>
      <c r="R36" s="10">
        <v>229512</v>
      </c>
      <c r="S36" s="10">
        <v>217594</v>
      </c>
      <c r="T36" s="10">
        <v>211128</v>
      </c>
      <c r="U36" s="10">
        <v>204836</v>
      </c>
      <c r="V36" s="10">
        <v>203181</v>
      </c>
      <c r="W36" s="10">
        <v>195759</v>
      </c>
      <c r="X36" s="10">
        <v>188727</v>
      </c>
      <c r="Y36" s="10">
        <v>180814</v>
      </c>
      <c r="Z36" s="10">
        <v>179894</v>
      </c>
      <c r="AA36" s="10">
        <v>171512</v>
      </c>
      <c r="AB36" s="10">
        <v>163825</v>
      </c>
      <c r="AC36" s="10">
        <v>156487</v>
      </c>
      <c r="AD36" s="10">
        <v>151218</v>
      </c>
      <c r="AE36" s="10">
        <v>145061</v>
      </c>
      <c r="AF36" s="10">
        <v>139922</v>
      </c>
      <c r="AG36" s="10">
        <v>137137</v>
      </c>
      <c r="AH36" s="10">
        <v>118483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W36" s="13"/>
      <c r="AX36" s="13"/>
    </row>
    <row r="37" spans="1:50" ht="12.5" x14ac:dyDescent="0.25">
      <c r="A37" s="2">
        <v>12</v>
      </c>
      <c r="B37" s="2">
        <v>14362</v>
      </c>
      <c r="C37" s="10">
        <v>486398</v>
      </c>
      <c r="D37" s="10">
        <v>480306</v>
      </c>
      <c r="E37" s="10">
        <v>452387</v>
      </c>
      <c r="F37" s="10">
        <v>430892</v>
      </c>
      <c r="G37" s="10">
        <v>403371</v>
      </c>
      <c r="H37" s="10">
        <v>392701</v>
      </c>
      <c r="I37" s="10">
        <v>387576</v>
      </c>
      <c r="J37" s="10">
        <v>366975</v>
      </c>
      <c r="K37" s="10">
        <v>350084</v>
      </c>
      <c r="L37" s="10">
        <v>337275</v>
      </c>
      <c r="M37" s="10">
        <v>330242</v>
      </c>
      <c r="N37" s="10">
        <v>319493</v>
      </c>
      <c r="O37" s="10">
        <v>306850</v>
      </c>
      <c r="P37" s="10">
        <v>292293</v>
      </c>
      <c r="Q37" s="10">
        <v>280200</v>
      </c>
      <c r="R37" s="10">
        <v>271923</v>
      </c>
      <c r="S37" s="10">
        <v>261156</v>
      </c>
      <c r="T37" s="10">
        <v>255634</v>
      </c>
      <c r="U37" s="10">
        <v>247280</v>
      </c>
      <c r="V37" s="10">
        <v>241277</v>
      </c>
      <c r="W37" s="10">
        <v>235850</v>
      </c>
      <c r="X37" s="10">
        <v>228169</v>
      </c>
      <c r="Y37" s="10">
        <v>218606</v>
      </c>
      <c r="Z37" s="10">
        <v>210822</v>
      </c>
      <c r="AA37" s="10">
        <v>210823</v>
      </c>
      <c r="AB37" s="10">
        <v>200105</v>
      </c>
      <c r="AC37" s="10">
        <v>193793</v>
      </c>
      <c r="AD37" s="10">
        <v>189985</v>
      </c>
      <c r="AE37" s="10">
        <v>178360</v>
      </c>
      <c r="AF37" s="10">
        <v>173748</v>
      </c>
      <c r="AG37" s="10">
        <v>166477</v>
      </c>
      <c r="AH37" s="10">
        <v>163317</v>
      </c>
      <c r="AI37" s="10">
        <v>142970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W37" s="13"/>
      <c r="AX37" s="13"/>
    </row>
    <row r="38" spans="1:50" ht="12.5" x14ac:dyDescent="0.25">
      <c r="A38" s="2">
        <v>11</v>
      </c>
      <c r="B38" s="2">
        <v>18709</v>
      </c>
      <c r="C38" s="10">
        <v>579552</v>
      </c>
      <c r="D38" s="10">
        <v>481484</v>
      </c>
      <c r="E38" s="10">
        <v>498073</v>
      </c>
      <c r="F38" s="10">
        <v>485968</v>
      </c>
      <c r="G38" s="10">
        <v>457279</v>
      </c>
      <c r="H38" s="10">
        <v>443775</v>
      </c>
      <c r="I38" s="10">
        <v>433502</v>
      </c>
      <c r="J38" s="10">
        <v>429712</v>
      </c>
      <c r="K38" s="10">
        <v>417737</v>
      </c>
      <c r="L38" s="10">
        <v>395490</v>
      </c>
      <c r="M38" s="10">
        <v>383868</v>
      </c>
      <c r="N38" s="10">
        <v>372818</v>
      </c>
      <c r="O38" s="10">
        <v>368626</v>
      </c>
      <c r="P38" s="10">
        <v>352310</v>
      </c>
      <c r="Q38" s="10">
        <v>339060</v>
      </c>
      <c r="R38" s="10">
        <v>327675</v>
      </c>
      <c r="S38" s="10">
        <v>314880</v>
      </c>
      <c r="T38" s="10">
        <v>302582</v>
      </c>
      <c r="U38" s="10">
        <v>297808</v>
      </c>
      <c r="V38" s="10">
        <v>289678</v>
      </c>
      <c r="W38" s="10">
        <v>282556</v>
      </c>
      <c r="X38" s="10">
        <v>277334</v>
      </c>
      <c r="Y38" s="10">
        <v>273543</v>
      </c>
      <c r="Z38" s="10">
        <v>259599</v>
      </c>
      <c r="AA38" s="10">
        <v>252042</v>
      </c>
      <c r="AB38" s="10">
        <v>252540</v>
      </c>
      <c r="AC38" s="10">
        <v>241912</v>
      </c>
      <c r="AD38" s="10">
        <v>232585</v>
      </c>
      <c r="AE38" s="10">
        <v>220515</v>
      </c>
      <c r="AF38" s="10">
        <v>211453</v>
      </c>
      <c r="AG38" s="10">
        <v>202430</v>
      </c>
      <c r="AH38" s="10">
        <v>195562</v>
      </c>
      <c r="AI38" s="10">
        <v>189875</v>
      </c>
      <c r="AJ38" s="10">
        <v>167477</v>
      </c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W38" s="13"/>
      <c r="AX38" s="13"/>
    </row>
    <row r="39" spans="1:50" ht="12.5" x14ac:dyDescent="0.25">
      <c r="A39" s="2">
        <v>10</v>
      </c>
      <c r="B39" s="2">
        <v>21946</v>
      </c>
      <c r="C39" s="10">
        <v>616961</v>
      </c>
      <c r="D39" s="10">
        <v>562044</v>
      </c>
      <c r="E39" s="10">
        <v>500614</v>
      </c>
      <c r="F39" s="10">
        <v>492216</v>
      </c>
      <c r="G39" s="10">
        <v>457128</v>
      </c>
      <c r="H39" s="10">
        <v>439217</v>
      </c>
      <c r="I39" s="10">
        <v>421190</v>
      </c>
      <c r="J39" s="10">
        <v>406139</v>
      </c>
      <c r="K39" s="10">
        <v>399853</v>
      </c>
      <c r="L39" s="10">
        <v>381955</v>
      </c>
      <c r="M39" s="10">
        <v>364140</v>
      </c>
      <c r="N39" s="10">
        <v>350198</v>
      </c>
      <c r="O39" s="10">
        <v>342715</v>
      </c>
      <c r="P39" s="10">
        <v>330481</v>
      </c>
      <c r="Q39" s="10">
        <v>320672</v>
      </c>
      <c r="R39" s="10">
        <v>306751</v>
      </c>
      <c r="S39" s="10">
        <v>289970</v>
      </c>
      <c r="T39" s="10">
        <v>282968</v>
      </c>
      <c r="U39" s="10">
        <v>277536</v>
      </c>
      <c r="V39" s="10">
        <v>267868</v>
      </c>
      <c r="W39" s="10">
        <v>261418</v>
      </c>
      <c r="X39" s="10">
        <v>256870</v>
      </c>
      <c r="Y39" s="10">
        <v>252645</v>
      </c>
      <c r="Z39" s="10">
        <v>244866</v>
      </c>
      <c r="AA39" s="10">
        <v>233069</v>
      </c>
      <c r="AB39" s="10">
        <v>224709</v>
      </c>
      <c r="AC39" s="10">
        <v>221112</v>
      </c>
      <c r="AD39" s="10">
        <v>216636</v>
      </c>
      <c r="AE39" s="10">
        <v>207230</v>
      </c>
      <c r="AF39" s="10">
        <v>200582</v>
      </c>
      <c r="AG39" s="10">
        <v>188232</v>
      </c>
      <c r="AH39" s="10">
        <v>182499</v>
      </c>
      <c r="AI39" s="10">
        <v>175791</v>
      </c>
      <c r="AJ39" s="10">
        <v>173509</v>
      </c>
      <c r="AK39" s="10">
        <v>145730</v>
      </c>
      <c r="AL39" s="10"/>
      <c r="AM39" s="10"/>
      <c r="AN39" s="10"/>
      <c r="AO39" s="10"/>
      <c r="AP39" s="10"/>
      <c r="AQ39" s="10"/>
      <c r="AR39" s="10"/>
      <c r="AS39" s="10"/>
      <c r="AT39" s="10"/>
      <c r="AW39" s="13"/>
      <c r="AX39" s="13"/>
    </row>
    <row r="40" spans="1:50" ht="12.5" x14ac:dyDescent="0.25">
      <c r="A40" s="2">
        <v>9</v>
      </c>
      <c r="B40" s="2">
        <v>13502</v>
      </c>
      <c r="C40" s="10">
        <v>445906</v>
      </c>
      <c r="D40" s="10">
        <v>387394</v>
      </c>
      <c r="E40" s="10">
        <v>363431</v>
      </c>
      <c r="F40" s="10">
        <v>336149</v>
      </c>
      <c r="G40" s="10">
        <v>313630</v>
      </c>
      <c r="H40" s="10">
        <v>301070</v>
      </c>
      <c r="I40" s="10">
        <v>285499</v>
      </c>
      <c r="J40" s="10">
        <v>272390</v>
      </c>
      <c r="K40" s="10">
        <v>260992</v>
      </c>
      <c r="L40" s="10">
        <v>260317</v>
      </c>
      <c r="M40" s="10">
        <v>245862</v>
      </c>
      <c r="N40" s="10">
        <v>231906</v>
      </c>
      <c r="O40" s="10">
        <v>228910</v>
      </c>
      <c r="P40" s="10">
        <v>218547</v>
      </c>
      <c r="Q40" s="10">
        <v>213826</v>
      </c>
      <c r="R40" s="10">
        <v>204173</v>
      </c>
      <c r="S40" s="10">
        <v>195460</v>
      </c>
      <c r="T40" s="10">
        <v>187228</v>
      </c>
      <c r="U40" s="10">
        <v>178988</v>
      </c>
      <c r="V40" s="10">
        <v>176389</v>
      </c>
      <c r="W40" s="10">
        <v>173872</v>
      </c>
      <c r="X40" s="10">
        <v>168811</v>
      </c>
      <c r="Y40" s="10">
        <v>167361</v>
      </c>
      <c r="Z40" s="10">
        <v>165162</v>
      </c>
      <c r="AA40" s="10">
        <v>157094</v>
      </c>
      <c r="AB40" s="10">
        <v>153339</v>
      </c>
      <c r="AC40" s="10">
        <v>149016</v>
      </c>
      <c r="AD40" s="10">
        <v>144348</v>
      </c>
      <c r="AE40" s="10">
        <v>141258</v>
      </c>
      <c r="AF40" s="10">
        <v>137260</v>
      </c>
      <c r="AG40" s="10">
        <v>129612</v>
      </c>
      <c r="AH40" s="10">
        <v>121174</v>
      </c>
      <c r="AI40" s="10">
        <v>117177</v>
      </c>
      <c r="AJ40" s="10">
        <v>115949</v>
      </c>
      <c r="AK40" s="10">
        <v>112906</v>
      </c>
      <c r="AL40" s="10">
        <v>98521</v>
      </c>
      <c r="AM40" s="10"/>
      <c r="AN40" s="10"/>
      <c r="AO40" s="10"/>
      <c r="AP40" s="10"/>
      <c r="AQ40" s="10"/>
      <c r="AR40" s="10"/>
      <c r="AS40" s="10"/>
      <c r="AT40" s="10"/>
      <c r="AW40" s="13"/>
      <c r="AX40" s="13"/>
    </row>
    <row r="41" spans="1:50" ht="12.5" x14ac:dyDescent="0.25">
      <c r="A41" s="2">
        <v>8</v>
      </c>
      <c r="B41" s="2">
        <v>13102</v>
      </c>
      <c r="C41" s="10">
        <v>416755</v>
      </c>
      <c r="D41" s="10">
        <v>405936</v>
      </c>
      <c r="E41" s="10">
        <v>364917</v>
      </c>
      <c r="F41" s="10">
        <v>348733</v>
      </c>
      <c r="G41" s="10">
        <v>316078</v>
      </c>
      <c r="H41" s="10">
        <v>304558</v>
      </c>
      <c r="I41" s="10">
        <v>286711</v>
      </c>
      <c r="J41" s="10">
        <v>276859</v>
      </c>
      <c r="K41" s="10">
        <v>265643</v>
      </c>
      <c r="L41" s="10">
        <v>255434</v>
      </c>
      <c r="M41" s="10">
        <v>251764</v>
      </c>
      <c r="N41" s="10">
        <v>242583</v>
      </c>
      <c r="O41" s="10">
        <v>228358</v>
      </c>
      <c r="P41" s="10">
        <v>221102</v>
      </c>
      <c r="Q41" s="10">
        <v>213579</v>
      </c>
      <c r="R41" s="10">
        <v>208833</v>
      </c>
      <c r="S41" s="10">
        <v>203392</v>
      </c>
      <c r="T41" s="10">
        <v>191272</v>
      </c>
      <c r="U41" s="10">
        <v>184820</v>
      </c>
      <c r="V41" s="10">
        <v>180525</v>
      </c>
      <c r="W41" s="10">
        <v>177950</v>
      </c>
      <c r="X41" s="10">
        <v>171753</v>
      </c>
      <c r="Y41" s="10">
        <v>168420</v>
      </c>
      <c r="Z41" s="10">
        <v>165585</v>
      </c>
      <c r="AA41" s="10">
        <v>162336</v>
      </c>
      <c r="AB41" s="10">
        <v>155233</v>
      </c>
      <c r="AC41" s="10">
        <v>149874</v>
      </c>
      <c r="AD41" s="10">
        <v>143850</v>
      </c>
      <c r="AE41" s="10">
        <v>142168</v>
      </c>
      <c r="AF41" s="10">
        <v>139535</v>
      </c>
      <c r="AG41" s="10">
        <v>132014</v>
      </c>
      <c r="AH41" s="10">
        <v>128411</v>
      </c>
      <c r="AI41" s="10">
        <v>121024</v>
      </c>
      <c r="AJ41" s="10">
        <v>116182</v>
      </c>
      <c r="AK41" s="10">
        <v>111050</v>
      </c>
      <c r="AL41" s="10">
        <v>109570</v>
      </c>
      <c r="AM41" s="10">
        <v>96288</v>
      </c>
      <c r="AN41" s="10"/>
      <c r="AO41" s="10"/>
      <c r="AP41" s="10"/>
      <c r="AQ41" s="10"/>
      <c r="AR41" s="10"/>
      <c r="AS41" s="10"/>
      <c r="AT41" s="10"/>
      <c r="AW41" s="13"/>
      <c r="AX41" s="13"/>
    </row>
    <row r="42" spans="1:50" ht="12.5" x14ac:dyDescent="0.25">
      <c r="A42" s="2">
        <v>7</v>
      </c>
      <c r="B42" s="2">
        <v>13354</v>
      </c>
      <c r="C42" s="10">
        <v>416140</v>
      </c>
      <c r="D42" s="10">
        <v>385084</v>
      </c>
      <c r="E42" s="10">
        <v>385378</v>
      </c>
      <c r="F42" s="10">
        <v>346785</v>
      </c>
      <c r="G42" s="10">
        <v>320953</v>
      </c>
      <c r="H42" s="10">
        <v>300517</v>
      </c>
      <c r="I42" s="10">
        <v>289401</v>
      </c>
      <c r="J42" s="10">
        <v>274170</v>
      </c>
      <c r="K42" s="10">
        <v>260258</v>
      </c>
      <c r="L42" s="10">
        <v>251240</v>
      </c>
      <c r="M42" s="10">
        <v>242628</v>
      </c>
      <c r="N42" s="10">
        <v>238300</v>
      </c>
      <c r="O42" s="10">
        <v>230136</v>
      </c>
      <c r="P42" s="10">
        <v>217752</v>
      </c>
      <c r="Q42" s="10">
        <v>212865</v>
      </c>
      <c r="R42" s="10">
        <v>208009</v>
      </c>
      <c r="S42" s="10">
        <v>198738</v>
      </c>
      <c r="T42" s="10">
        <v>194131</v>
      </c>
      <c r="U42" s="10">
        <v>182754</v>
      </c>
      <c r="V42" s="10">
        <v>179597</v>
      </c>
      <c r="W42" s="10">
        <v>172780</v>
      </c>
      <c r="X42" s="10">
        <v>172085</v>
      </c>
      <c r="Y42" s="10">
        <v>166068</v>
      </c>
      <c r="Z42" s="10">
        <v>164255</v>
      </c>
      <c r="AA42" s="10">
        <v>159933</v>
      </c>
      <c r="AB42" s="10">
        <v>155760</v>
      </c>
      <c r="AC42" s="10">
        <v>153592</v>
      </c>
      <c r="AD42" s="10">
        <v>146579</v>
      </c>
      <c r="AE42" s="10">
        <v>140048</v>
      </c>
      <c r="AF42" s="10">
        <v>137401</v>
      </c>
      <c r="AG42" s="10">
        <v>133306</v>
      </c>
      <c r="AH42" s="10">
        <v>127762</v>
      </c>
      <c r="AI42" s="10">
        <v>120050</v>
      </c>
      <c r="AJ42" s="10">
        <v>114706</v>
      </c>
      <c r="AK42" s="10">
        <v>114510</v>
      </c>
      <c r="AL42" s="10">
        <v>108821</v>
      </c>
      <c r="AM42" s="10">
        <v>108269</v>
      </c>
      <c r="AN42" s="10">
        <v>95126</v>
      </c>
      <c r="AO42" s="10"/>
      <c r="AP42" s="10"/>
      <c r="AQ42" s="10"/>
      <c r="AR42" s="10"/>
      <c r="AS42" s="10"/>
      <c r="AT42" s="10"/>
      <c r="AW42" s="13"/>
      <c r="AX42" s="13"/>
    </row>
    <row r="43" spans="1:50" ht="12.5" x14ac:dyDescent="0.25">
      <c r="A43" s="2">
        <v>6</v>
      </c>
      <c r="B43" s="2">
        <v>14051</v>
      </c>
      <c r="C43" s="10">
        <v>428909</v>
      </c>
      <c r="D43" s="10">
        <v>393801</v>
      </c>
      <c r="E43" s="10">
        <v>374254</v>
      </c>
      <c r="F43" s="10">
        <v>378531</v>
      </c>
      <c r="G43" s="10">
        <v>342456</v>
      </c>
      <c r="H43" s="10">
        <v>322077</v>
      </c>
      <c r="I43" s="10">
        <v>301502</v>
      </c>
      <c r="J43" s="10">
        <v>286497</v>
      </c>
      <c r="K43" s="10">
        <v>274087</v>
      </c>
      <c r="L43" s="10">
        <v>259560</v>
      </c>
      <c r="M43" s="10">
        <v>253918</v>
      </c>
      <c r="N43" s="10">
        <v>244023</v>
      </c>
      <c r="O43" s="10">
        <v>243212</v>
      </c>
      <c r="P43" s="10">
        <v>230922</v>
      </c>
      <c r="Q43" s="10">
        <v>220249</v>
      </c>
      <c r="R43" s="10">
        <v>214347</v>
      </c>
      <c r="S43" s="10">
        <v>211360</v>
      </c>
      <c r="T43" s="10">
        <v>202096</v>
      </c>
      <c r="U43" s="10">
        <v>195432</v>
      </c>
      <c r="V43" s="10">
        <v>185973</v>
      </c>
      <c r="W43" s="10">
        <v>182226</v>
      </c>
      <c r="X43" s="10">
        <v>176967</v>
      </c>
      <c r="Y43" s="10">
        <v>172177</v>
      </c>
      <c r="Z43" s="10">
        <v>171427</v>
      </c>
      <c r="AA43" s="10">
        <v>169963</v>
      </c>
      <c r="AB43" s="10">
        <v>165503</v>
      </c>
      <c r="AC43" s="10">
        <v>161185</v>
      </c>
      <c r="AD43" s="10">
        <v>159100</v>
      </c>
      <c r="AE43" s="10">
        <v>151488</v>
      </c>
      <c r="AF43" s="10">
        <v>148786</v>
      </c>
      <c r="AG43" s="10">
        <v>145839</v>
      </c>
      <c r="AH43" s="10">
        <v>141749</v>
      </c>
      <c r="AI43" s="10">
        <v>135694</v>
      </c>
      <c r="AJ43" s="10">
        <v>130846</v>
      </c>
      <c r="AK43" s="10">
        <v>125876</v>
      </c>
      <c r="AL43" s="10">
        <v>122011</v>
      </c>
      <c r="AM43" s="10">
        <v>120604</v>
      </c>
      <c r="AN43" s="10">
        <v>118846</v>
      </c>
      <c r="AO43" s="10">
        <v>102177</v>
      </c>
      <c r="AP43" s="10"/>
      <c r="AQ43" s="10"/>
      <c r="AR43" s="10"/>
      <c r="AS43" s="10"/>
      <c r="AT43" s="10"/>
      <c r="AW43" s="13"/>
      <c r="AX43" s="13"/>
    </row>
    <row r="44" spans="1:50" ht="12.5" x14ac:dyDescent="0.25">
      <c r="A44" s="2">
        <v>5</v>
      </c>
      <c r="B44" s="2">
        <v>17739</v>
      </c>
      <c r="C44" s="10">
        <v>553302</v>
      </c>
      <c r="D44" s="10">
        <v>502948</v>
      </c>
      <c r="E44" s="10">
        <v>472246</v>
      </c>
      <c r="F44" s="10">
        <v>450927</v>
      </c>
      <c r="G44" s="10">
        <v>453823</v>
      </c>
      <c r="H44" s="10">
        <v>412112</v>
      </c>
      <c r="I44" s="10">
        <v>393724</v>
      </c>
      <c r="J44" s="10">
        <v>367373</v>
      </c>
      <c r="K44" s="10">
        <v>350599</v>
      </c>
      <c r="L44" s="10">
        <v>333274</v>
      </c>
      <c r="M44" s="10">
        <v>318479</v>
      </c>
      <c r="N44" s="10">
        <v>312933</v>
      </c>
      <c r="O44" s="10">
        <v>299600</v>
      </c>
      <c r="P44" s="10">
        <v>297640</v>
      </c>
      <c r="Q44" s="10">
        <v>287022</v>
      </c>
      <c r="R44" s="10">
        <v>275093</v>
      </c>
      <c r="S44" s="10">
        <v>263908</v>
      </c>
      <c r="T44" s="10">
        <v>253155</v>
      </c>
      <c r="U44" s="10">
        <v>250580</v>
      </c>
      <c r="V44" s="10">
        <v>245288</v>
      </c>
      <c r="W44" s="10">
        <v>236071</v>
      </c>
      <c r="X44" s="10">
        <v>226953</v>
      </c>
      <c r="Y44" s="10">
        <v>219016</v>
      </c>
      <c r="Z44" s="10">
        <v>216092</v>
      </c>
      <c r="AA44" s="10">
        <v>209637</v>
      </c>
      <c r="AB44" s="10">
        <v>204815</v>
      </c>
      <c r="AC44" s="10">
        <v>203434</v>
      </c>
      <c r="AD44" s="10">
        <v>200137</v>
      </c>
      <c r="AE44" s="10">
        <v>190345</v>
      </c>
      <c r="AF44" s="10">
        <v>184833</v>
      </c>
      <c r="AG44" s="10">
        <v>178674</v>
      </c>
      <c r="AH44" s="10">
        <v>176805</v>
      </c>
      <c r="AI44" s="10">
        <v>173010</v>
      </c>
      <c r="AJ44" s="10">
        <v>164091</v>
      </c>
      <c r="AK44" s="10">
        <v>158373</v>
      </c>
      <c r="AL44" s="10">
        <v>152890</v>
      </c>
      <c r="AM44" s="10">
        <v>146165</v>
      </c>
      <c r="AN44" s="10">
        <v>142810</v>
      </c>
      <c r="AO44" s="10">
        <v>138318</v>
      </c>
      <c r="AP44" s="10">
        <v>125781</v>
      </c>
      <c r="AQ44" s="10"/>
      <c r="AR44" s="10"/>
      <c r="AS44" s="10"/>
      <c r="AT44" s="10"/>
      <c r="AW44" s="13"/>
      <c r="AX44" s="13"/>
    </row>
    <row r="45" spans="1:50" ht="12.5" x14ac:dyDescent="0.25">
      <c r="A45" s="2">
        <v>4</v>
      </c>
      <c r="B45" s="2">
        <v>18451</v>
      </c>
      <c r="C45" s="10">
        <v>587401</v>
      </c>
      <c r="D45" s="10">
        <v>535797</v>
      </c>
      <c r="E45" s="10">
        <v>498988</v>
      </c>
      <c r="F45" s="10">
        <v>473761</v>
      </c>
      <c r="G45" s="10">
        <v>452039</v>
      </c>
      <c r="H45" s="10">
        <v>463635</v>
      </c>
      <c r="I45" s="10">
        <v>427377</v>
      </c>
      <c r="J45" s="10">
        <v>403600</v>
      </c>
      <c r="K45" s="10">
        <v>379001</v>
      </c>
      <c r="L45" s="10">
        <v>364434</v>
      </c>
      <c r="M45" s="10">
        <v>349395</v>
      </c>
      <c r="N45" s="10">
        <v>335019</v>
      </c>
      <c r="O45" s="10">
        <v>323111</v>
      </c>
      <c r="P45" s="10">
        <v>312435</v>
      </c>
      <c r="Q45" s="10">
        <v>307801</v>
      </c>
      <c r="R45" s="10">
        <v>295092</v>
      </c>
      <c r="S45" s="10">
        <v>282978</v>
      </c>
      <c r="T45" s="10">
        <v>271880</v>
      </c>
      <c r="U45" s="10">
        <v>264519</v>
      </c>
      <c r="V45" s="10">
        <v>262382</v>
      </c>
      <c r="W45" s="10">
        <v>255832</v>
      </c>
      <c r="X45" s="10">
        <v>243115</v>
      </c>
      <c r="Y45" s="10">
        <v>235962</v>
      </c>
      <c r="Z45" s="10">
        <v>228137</v>
      </c>
      <c r="AA45" s="10">
        <v>225382</v>
      </c>
      <c r="AB45" s="10">
        <v>216484</v>
      </c>
      <c r="AC45" s="10">
        <v>211927</v>
      </c>
      <c r="AD45" s="10">
        <v>207398</v>
      </c>
      <c r="AE45" s="10">
        <v>204502</v>
      </c>
      <c r="AF45" s="10">
        <v>195539</v>
      </c>
      <c r="AG45" s="10">
        <v>189036</v>
      </c>
      <c r="AH45" s="10">
        <v>182407</v>
      </c>
      <c r="AI45" s="10">
        <v>180001</v>
      </c>
      <c r="AJ45" s="10">
        <v>172975</v>
      </c>
      <c r="AK45" s="10">
        <v>168370</v>
      </c>
      <c r="AL45" s="10">
        <v>163161</v>
      </c>
      <c r="AM45" s="10">
        <v>155770</v>
      </c>
      <c r="AN45" s="10">
        <v>152997</v>
      </c>
      <c r="AO45" s="10">
        <v>146882</v>
      </c>
      <c r="AP45" s="10">
        <v>141430</v>
      </c>
      <c r="AQ45" s="10">
        <v>122513</v>
      </c>
      <c r="AR45" s="10"/>
      <c r="AS45" s="10"/>
      <c r="AT45" s="10"/>
      <c r="AW45" s="13"/>
      <c r="AX45" s="13"/>
    </row>
    <row r="46" spans="1:50" ht="12.5" x14ac:dyDescent="0.25">
      <c r="A46" s="2">
        <v>3</v>
      </c>
      <c r="B46" s="2">
        <v>17045</v>
      </c>
      <c r="C46" s="10">
        <v>538039</v>
      </c>
      <c r="D46" s="10">
        <v>494095</v>
      </c>
      <c r="E46" s="10">
        <v>462067</v>
      </c>
      <c r="F46" s="10">
        <v>434502</v>
      </c>
      <c r="G46" s="10">
        <v>415107</v>
      </c>
      <c r="H46" s="10">
        <v>404283</v>
      </c>
      <c r="I46" s="10">
        <v>413369</v>
      </c>
      <c r="J46" s="10">
        <v>376506</v>
      </c>
      <c r="K46" s="10">
        <v>361878</v>
      </c>
      <c r="L46" s="10">
        <v>336404</v>
      </c>
      <c r="M46" s="10">
        <v>327695</v>
      </c>
      <c r="N46" s="10">
        <v>311630</v>
      </c>
      <c r="O46" s="10">
        <v>298801</v>
      </c>
      <c r="P46" s="10">
        <v>288928</v>
      </c>
      <c r="Q46" s="10">
        <v>281436</v>
      </c>
      <c r="R46" s="10">
        <v>276199</v>
      </c>
      <c r="S46" s="10">
        <v>264775</v>
      </c>
      <c r="T46" s="10">
        <v>251882</v>
      </c>
      <c r="U46" s="10">
        <v>245482</v>
      </c>
      <c r="V46" s="10">
        <v>243560</v>
      </c>
      <c r="W46" s="10">
        <v>236340</v>
      </c>
      <c r="X46" s="10">
        <v>227988</v>
      </c>
      <c r="Y46" s="10">
        <v>221074</v>
      </c>
      <c r="Z46" s="10">
        <v>210009</v>
      </c>
      <c r="AA46" s="10">
        <v>203235</v>
      </c>
      <c r="AB46" s="10">
        <v>201794</v>
      </c>
      <c r="AC46" s="10">
        <v>198502</v>
      </c>
      <c r="AD46" s="10">
        <v>195424</v>
      </c>
      <c r="AE46" s="10">
        <v>190684</v>
      </c>
      <c r="AF46" s="10">
        <v>187415</v>
      </c>
      <c r="AG46" s="10">
        <v>178677</v>
      </c>
      <c r="AH46" s="10">
        <v>172080</v>
      </c>
      <c r="AI46" s="10">
        <v>165784</v>
      </c>
      <c r="AJ46" s="10">
        <v>162013</v>
      </c>
      <c r="AK46" s="10">
        <v>156993</v>
      </c>
      <c r="AL46" s="10">
        <v>153555</v>
      </c>
      <c r="AM46" s="10">
        <v>150724</v>
      </c>
      <c r="AN46" s="10">
        <v>143200</v>
      </c>
      <c r="AO46" s="10">
        <v>137743</v>
      </c>
      <c r="AP46" s="10">
        <v>131787</v>
      </c>
      <c r="AQ46" s="10">
        <v>127681</v>
      </c>
      <c r="AR46" s="10">
        <v>112405</v>
      </c>
      <c r="AS46" s="10"/>
      <c r="AT46" s="10"/>
      <c r="AW46" s="13"/>
      <c r="AX46" s="13"/>
    </row>
    <row r="47" spans="1:50" ht="12.5" x14ac:dyDescent="0.25">
      <c r="A47" s="2">
        <v>2</v>
      </c>
      <c r="B47" s="2">
        <v>15828</v>
      </c>
      <c r="C47" s="10">
        <v>496004</v>
      </c>
      <c r="D47" s="10">
        <v>449469</v>
      </c>
      <c r="E47" s="10">
        <v>422718</v>
      </c>
      <c r="F47" s="10">
        <v>398261</v>
      </c>
      <c r="G47" s="10">
        <v>374971</v>
      </c>
      <c r="H47" s="10">
        <v>358973</v>
      </c>
      <c r="I47" s="10">
        <v>347708</v>
      </c>
      <c r="J47" s="10">
        <v>356305</v>
      </c>
      <c r="K47" s="10">
        <v>329295</v>
      </c>
      <c r="L47" s="10">
        <v>316147</v>
      </c>
      <c r="M47" s="10">
        <v>294099</v>
      </c>
      <c r="N47" s="10">
        <v>284413</v>
      </c>
      <c r="O47" s="10">
        <v>272152</v>
      </c>
      <c r="P47" s="10">
        <v>261801</v>
      </c>
      <c r="Q47" s="10">
        <v>258285</v>
      </c>
      <c r="R47" s="10">
        <v>249211</v>
      </c>
      <c r="S47" s="10">
        <v>244975</v>
      </c>
      <c r="T47" s="10">
        <v>237399</v>
      </c>
      <c r="U47" s="10">
        <v>225989</v>
      </c>
      <c r="V47" s="10">
        <v>222412</v>
      </c>
      <c r="W47" s="10">
        <v>217712</v>
      </c>
      <c r="X47" s="10">
        <v>215745</v>
      </c>
      <c r="Y47" s="10">
        <v>209687</v>
      </c>
      <c r="Z47" s="10">
        <v>199222</v>
      </c>
      <c r="AA47" s="10">
        <v>191176</v>
      </c>
      <c r="AB47" s="10">
        <v>187681</v>
      </c>
      <c r="AC47" s="10">
        <v>187518</v>
      </c>
      <c r="AD47" s="10">
        <v>184374</v>
      </c>
      <c r="AE47" s="10">
        <v>178887</v>
      </c>
      <c r="AF47" s="10">
        <v>174610</v>
      </c>
      <c r="AG47" s="10">
        <v>168926</v>
      </c>
      <c r="AH47" s="10">
        <v>164716</v>
      </c>
      <c r="AI47" s="10">
        <v>160754</v>
      </c>
      <c r="AJ47" s="10">
        <v>154363</v>
      </c>
      <c r="AK47" s="10">
        <v>151865</v>
      </c>
      <c r="AL47" s="10">
        <v>149468</v>
      </c>
      <c r="AM47" s="10">
        <v>144245</v>
      </c>
      <c r="AN47" s="10">
        <v>140002</v>
      </c>
      <c r="AO47" s="10">
        <v>134146</v>
      </c>
      <c r="AP47" s="10">
        <v>131829</v>
      </c>
      <c r="AQ47" s="10">
        <v>125531</v>
      </c>
      <c r="AR47" s="10">
        <v>122453</v>
      </c>
      <c r="AS47" s="10">
        <v>108483</v>
      </c>
      <c r="AT47" s="10"/>
      <c r="AW47" s="13"/>
      <c r="AX47" s="13"/>
    </row>
    <row r="48" spans="1:50" ht="12.5" x14ac:dyDescent="0.25">
      <c r="A48" s="2">
        <v>1</v>
      </c>
      <c r="B48" s="2">
        <v>18371</v>
      </c>
      <c r="C48" s="10">
        <v>597402</v>
      </c>
      <c r="D48" s="10">
        <v>556658</v>
      </c>
      <c r="E48" s="10">
        <v>517133</v>
      </c>
      <c r="F48" s="10">
        <v>491258</v>
      </c>
      <c r="G48" s="10">
        <v>465129</v>
      </c>
      <c r="H48" s="10">
        <v>444458</v>
      </c>
      <c r="I48" s="10">
        <v>426813</v>
      </c>
      <c r="J48" s="10">
        <v>414210</v>
      </c>
      <c r="K48" s="10">
        <v>425346</v>
      </c>
      <c r="L48" s="10">
        <v>391768</v>
      </c>
      <c r="M48" s="10">
        <v>376512</v>
      </c>
      <c r="N48" s="10">
        <v>351948</v>
      </c>
      <c r="O48" s="10">
        <v>342127</v>
      </c>
      <c r="P48" s="10">
        <v>329393</v>
      </c>
      <c r="Q48" s="10">
        <v>314941</v>
      </c>
      <c r="R48" s="10">
        <v>303810</v>
      </c>
      <c r="S48" s="10">
        <v>297171</v>
      </c>
      <c r="T48" s="10">
        <v>292800</v>
      </c>
      <c r="U48" s="10">
        <v>283892</v>
      </c>
      <c r="V48" s="10">
        <v>274416</v>
      </c>
      <c r="W48" s="10">
        <v>268461</v>
      </c>
      <c r="X48" s="10">
        <v>258478</v>
      </c>
      <c r="Y48" s="10">
        <v>252368</v>
      </c>
      <c r="Z48" s="10">
        <v>244295</v>
      </c>
      <c r="AA48" s="10">
        <v>228744</v>
      </c>
      <c r="AB48" s="10">
        <v>224284</v>
      </c>
      <c r="AC48" s="10">
        <v>215225</v>
      </c>
      <c r="AD48" s="10">
        <v>212890</v>
      </c>
      <c r="AE48" s="10">
        <v>207661</v>
      </c>
      <c r="AF48" s="10">
        <v>199818</v>
      </c>
      <c r="AG48" s="10">
        <v>195465</v>
      </c>
      <c r="AH48" s="10">
        <v>190122</v>
      </c>
      <c r="AI48" s="10">
        <v>182942</v>
      </c>
      <c r="AJ48" s="10">
        <v>175612</v>
      </c>
      <c r="AK48" s="10">
        <v>170510</v>
      </c>
      <c r="AL48" s="10">
        <v>169920</v>
      </c>
      <c r="AM48" s="10">
        <v>168221</v>
      </c>
      <c r="AN48" s="10">
        <v>162723</v>
      </c>
      <c r="AO48" s="10">
        <v>152499</v>
      </c>
      <c r="AP48" s="10">
        <v>146057</v>
      </c>
      <c r="AQ48" s="10">
        <v>142163</v>
      </c>
      <c r="AR48" s="10">
        <v>137788</v>
      </c>
      <c r="AS48" s="10">
        <v>136185</v>
      </c>
      <c r="AT48" s="10">
        <v>119557</v>
      </c>
      <c r="AW48" s="13"/>
      <c r="AX48" s="13"/>
    </row>
    <row r="49" spans="1:50" ht="12.5" x14ac:dyDescent="0.25">
      <c r="A49" s="2"/>
      <c r="B49" s="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1:50" ht="12.5" x14ac:dyDescent="0.25">
      <c r="A50" s="2"/>
      <c r="B50" s="2"/>
      <c r="AX50" s="13"/>
    </row>
    <row r="51" spans="1:50" ht="12.5" x14ac:dyDescent="0.25"/>
    <row r="52" spans="1:50" ht="12.5" x14ac:dyDescent="0.25"/>
    <row r="53" spans="1:50" ht="12.5" x14ac:dyDescent="0.25"/>
    <row r="54" spans="1:50" ht="12.5" x14ac:dyDescent="0.25">
      <c r="C54" s="12"/>
      <c r="E54" s="13"/>
      <c r="G54" s="13"/>
    </row>
    <row r="55" spans="1:50" ht="12.5" x14ac:dyDescent="0.25">
      <c r="C55" s="12"/>
    </row>
    <row r="56" spans="1:50" ht="12.5" x14ac:dyDescent="0.25">
      <c r="C56" s="12"/>
    </row>
    <row r="57" spans="1:50" ht="12.5" x14ac:dyDescent="0.25">
      <c r="C57" s="12"/>
    </row>
    <row r="58" spans="1:50" ht="12.5" x14ac:dyDescent="0.25">
      <c r="C58" s="12"/>
    </row>
    <row r="59" spans="1:50" ht="12.5" x14ac:dyDescent="0.25">
      <c r="C59" s="12"/>
    </row>
    <row r="60" spans="1:50" ht="12.5" x14ac:dyDescent="0.25">
      <c r="C60" s="12"/>
    </row>
    <row r="61" spans="1:50" ht="12.5" x14ac:dyDescent="0.25">
      <c r="C61" s="12"/>
    </row>
    <row r="62" spans="1:50" ht="12.5" x14ac:dyDescent="0.25">
      <c r="C62" s="12"/>
    </row>
    <row r="63" spans="1:50" ht="12.5" x14ac:dyDescent="0.25">
      <c r="C63" s="12"/>
    </row>
    <row r="64" spans="1:50" ht="12.5" x14ac:dyDescent="0.25">
      <c r="C64" s="12"/>
    </row>
    <row r="65" spans="3:3" ht="12.5" x14ac:dyDescent="0.25">
      <c r="C65" s="12"/>
    </row>
    <row r="66" spans="3:3" ht="12.5" x14ac:dyDescent="0.25">
      <c r="C66" s="12"/>
    </row>
    <row r="67" spans="3:3" ht="12.5" x14ac:dyDescent="0.25">
      <c r="C67" s="12"/>
    </row>
    <row r="68" spans="3:3" ht="12.5" x14ac:dyDescent="0.25">
      <c r="C68" s="12"/>
    </row>
    <row r="69" spans="3:3" ht="12.5" x14ac:dyDescent="0.25">
      <c r="C69" s="12"/>
    </row>
    <row r="70" spans="3:3" ht="12.5" x14ac:dyDescent="0.25">
      <c r="C70" s="12"/>
    </row>
    <row r="71" spans="3:3" ht="12.5" x14ac:dyDescent="0.25">
      <c r="C71" s="12"/>
    </row>
    <row r="72" spans="3:3" ht="12.5" x14ac:dyDescent="0.25">
      <c r="C72" s="12"/>
    </row>
    <row r="73" spans="3:3" ht="12.5" x14ac:dyDescent="0.25">
      <c r="C73" s="12"/>
    </row>
    <row r="74" spans="3:3" ht="12.5" x14ac:dyDescent="0.25">
      <c r="C74" s="12"/>
    </row>
    <row r="75" spans="3:3" ht="12.5" x14ac:dyDescent="0.25">
      <c r="C75" s="12"/>
    </row>
    <row r="76" spans="3:3" ht="12.5" x14ac:dyDescent="0.25">
      <c r="C76" s="12"/>
    </row>
    <row r="77" spans="3:3" ht="12.5" x14ac:dyDescent="0.25">
      <c r="C77" s="12"/>
    </row>
    <row r="78" spans="3:3" ht="12.5" x14ac:dyDescent="0.25">
      <c r="C78" s="12"/>
    </row>
    <row r="79" spans="3:3" ht="12.5" x14ac:dyDescent="0.25">
      <c r="C79" s="12"/>
    </row>
    <row r="80" spans="3:3" ht="12.5" x14ac:dyDescent="0.25">
      <c r="C80" s="12"/>
    </row>
    <row r="81" spans="3:3" ht="12.5" x14ac:dyDescent="0.25">
      <c r="C81" s="12"/>
    </row>
    <row r="82" spans="3:3" ht="12.5" x14ac:dyDescent="0.25">
      <c r="C82" s="12"/>
    </row>
    <row r="83" spans="3:3" ht="12.5" x14ac:dyDescent="0.25">
      <c r="C83" s="12"/>
    </row>
    <row r="84" spans="3:3" ht="12.5" x14ac:dyDescent="0.25">
      <c r="C84" s="12"/>
    </row>
    <row r="85" spans="3:3" ht="12.5" x14ac:dyDescent="0.25">
      <c r="C85" s="12"/>
    </row>
    <row r="86" spans="3:3" ht="12.5" x14ac:dyDescent="0.25">
      <c r="C86" s="12"/>
    </row>
    <row r="87" spans="3:3" ht="12.5" x14ac:dyDescent="0.25">
      <c r="C87" s="12"/>
    </row>
    <row r="88" spans="3:3" ht="12.5" x14ac:dyDescent="0.25"/>
    <row r="89" spans="3:3" ht="12.5" x14ac:dyDescent="0.25"/>
    <row r="90" spans="3:3" ht="12.5" x14ac:dyDescent="0.25"/>
    <row r="91" spans="3:3" ht="12.5" x14ac:dyDescent="0.25"/>
    <row r="92" spans="3:3" ht="12.5" x14ac:dyDescent="0.25"/>
    <row r="93" spans="3:3" ht="12.5" x14ac:dyDescent="0.25"/>
    <row r="94" spans="3:3" ht="12.5" x14ac:dyDescent="0.25"/>
    <row r="95" spans="3:3" ht="12.5" x14ac:dyDescent="0.25"/>
    <row r="96" spans="3:3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T1000"/>
  <sheetViews>
    <sheetView topLeftCell="A4" workbookViewId="0">
      <selection activeCell="N34" sqref="N34"/>
    </sheetView>
  </sheetViews>
  <sheetFormatPr defaultColWidth="12.6328125" defaultRowHeight="15.75" customHeight="1" x14ac:dyDescent="0.25"/>
  <cols>
    <col min="1" max="1" width="15.36328125" customWidth="1"/>
    <col min="2" max="2" width="14.36328125" customWidth="1"/>
    <col min="3" max="46" width="8.90625" customWidth="1"/>
    <col min="47" max="52" width="6.36328125" customWidth="1"/>
    <col min="53" max="53" width="5.453125" customWidth="1"/>
  </cols>
  <sheetData>
    <row r="1" spans="1:46" ht="15.75" customHeight="1" x14ac:dyDescent="0.5">
      <c r="A1" s="4" t="s">
        <v>9</v>
      </c>
      <c r="B1" s="2"/>
      <c r="C1" s="16"/>
      <c r="D1" s="17"/>
      <c r="E1" s="17"/>
      <c r="F1" s="17"/>
    </row>
    <row r="2" spans="1:46" ht="15.75" customHeight="1" x14ac:dyDescent="0.25">
      <c r="A2" s="5"/>
      <c r="B2" s="5" t="s">
        <v>4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6">
        <v>32</v>
      </c>
      <c r="AI2" s="6">
        <v>33</v>
      </c>
      <c r="AJ2" s="6">
        <v>34</v>
      </c>
      <c r="AK2" s="6">
        <v>35</v>
      </c>
      <c r="AL2" s="6">
        <v>36</v>
      </c>
      <c r="AM2" s="6">
        <v>37</v>
      </c>
      <c r="AN2" s="6">
        <v>38</v>
      </c>
      <c r="AO2" s="6">
        <v>39</v>
      </c>
      <c r="AP2" s="6">
        <v>40</v>
      </c>
      <c r="AQ2" s="6">
        <v>41</v>
      </c>
      <c r="AR2" s="6">
        <v>42</v>
      </c>
      <c r="AS2" s="6">
        <v>43</v>
      </c>
      <c r="AT2" s="6">
        <v>44</v>
      </c>
    </row>
    <row r="3" spans="1:46" ht="15.75" customHeight="1" x14ac:dyDescent="0.25">
      <c r="A3" s="7"/>
      <c r="B3" s="2"/>
      <c r="C3" t="s">
        <v>9</v>
      </c>
    </row>
    <row r="4" spans="1:46" ht="15.75" customHeight="1" x14ac:dyDescent="0.25">
      <c r="A4" s="2" t="s">
        <v>5</v>
      </c>
      <c r="B4" s="2" t="s">
        <v>6</v>
      </c>
      <c r="C4" s="8"/>
    </row>
    <row r="5" spans="1:46" ht="15.75" customHeight="1" x14ac:dyDescent="0.25">
      <c r="A5" s="2">
        <v>44</v>
      </c>
      <c r="B5" s="2">
        <v>23612</v>
      </c>
      <c r="C5" s="10">
        <v>27008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spans="1:46" ht="15.75" customHeight="1" x14ac:dyDescent="0.25">
      <c r="A6" s="2">
        <v>43</v>
      </c>
      <c r="B6" s="2">
        <v>24301</v>
      </c>
      <c r="C6" s="10">
        <v>29864</v>
      </c>
      <c r="D6" s="10">
        <v>26153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 ht="15.75" customHeight="1" x14ac:dyDescent="0.25">
      <c r="A7" s="2">
        <v>42</v>
      </c>
      <c r="B7" s="2">
        <v>24460</v>
      </c>
      <c r="C7" s="10">
        <v>29027</v>
      </c>
      <c r="D7" s="10">
        <v>27975</v>
      </c>
      <c r="E7" s="10">
        <v>25075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ht="15.75" customHeight="1" x14ac:dyDescent="0.25">
      <c r="A8" s="2">
        <v>41</v>
      </c>
      <c r="B8" s="2">
        <v>24277</v>
      </c>
      <c r="C8" s="10">
        <v>28184</v>
      </c>
      <c r="D8" s="10">
        <v>26953</v>
      </c>
      <c r="E8" s="10">
        <v>26917</v>
      </c>
      <c r="F8" s="10">
        <v>24331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 ht="15.75" customHeight="1" x14ac:dyDescent="0.25">
      <c r="A9" s="2">
        <v>40</v>
      </c>
      <c r="B9" s="2">
        <v>25293</v>
      </c>
      <c r="C9" s="10">
        <v>28852</v>
      </c>
      <c r="D9" s="10">
        <v>27636</v>
      </c>
      <c r="E9" s="10">
        <v>27277</v>
      </c>
      <c r="F9" s="10">
        <v>28073</v>
      </c>
      <c r="G9" s="10">
        <v>24665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15.75" customHeight="1" x14ac:dyDescent="0.25">
      <c r="A10" s="2">
        <v>39</v>
      </c>
      <c r="B10" s="2">
        <v>29262</v>
      </c>
      <c r="C10" s="10">
        <v>35470</v>
      </c>
      <c r="D10" s="10">
        <v>33432</v>
      </c>
      <c r="E10" s="10">
        <v>32803</v>
      </c>
      <c r="F10" s="10">
        <v>32980</v>
      </c>
      <c r="G10" s="10">
        <v>33258</v>
      </c>
      <c r="H10" s="10">
        <v>29904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15.75" customHeight="1" x14ac:dyDescent="0.25">
      <c r="A11" s="2">
        <v>38</v>
      </c>
      <c r="B11" s="2">
        <v>28848</v>
      </c>
      <c r="C11" s="10">
        <v>35058</v>
      </c>
      <c r="D11" s="10">
        <v>33189</v>
      </c>
      <c r="E11" s="10">
        <v>32245</v>
      </c>
      <c r="F11" s="10">
        <v>32348</v>
      </c>
      <c r="G11" s="10">
        <v>31995</v>
      </c>
      <c r="H11" s="10">
        <v>32436</v>
      </c>
      <c r="I11" s="10">
        <v>29387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 ht="15.75" customHeight="1" x14ac:dyDescent="0.25">
      <c r="A12" s="2">
        <v>37</v>
      </c>
      <c r="B12" s="2">
        <v>28741</v>
      </c>
      <c r="C12" s="10">
        <v>10378</v>
      </c>
      <c r="D12" s="10">
        <v>9657</v>
      </c>
      <c r="E12" s="10">
        <v>9533</v>
      </c>
      <c r="F12" s="10">
        <v>9368</v>
      </c>
      <c r="G12" s="10">
        <v>9222</v>
      </c>
      <c r="H12" s="10">
        <v>8995</v>
      </c>
      <c r="I12" s="10">
        <v>9300</v>
      </c>
      <c r="J12" s="10">
        <v>8092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 ht="15.75" customHeight="1" x14ac:dyDescent="0.25">
      <c r="A13" s="2">
        <v>36</v>
      </c>
      <c r="B13" s="2">
        <v>22074</v>
      </c>
      <c r="C13" s="10">
        <v>9080</v>
      </c>
      <c r="D13" s="10">
        <v>8689</v>
      </c>
      <c r="E13" s="10">
        <v>8544</v>
      </c>
      <c r="F13" s="10">
        <v>8720</v>
      </c>
      <c r="G13" s="10">
        <v>8368</v>
      </c>
      <c r="H13" s="10">
        <v>8394</v>
      </c>
      <c r="I13" s="10">
        <v>8393</v>
      </c>
      <c r="J13" s="10">
        <v>8436</v>
      </c>
      <c r="K13" s="10">
        <v>7715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 ht="15.75" customHeight="1" x14ac:dyDescent="0.25">
      <c r="A14" s="2">
        <v>35</v>
      </c>
      <c r="B14" s="2">
        <v>24252</v>
      </c>
      <c r="C14" s="10">
        <v>11005</v>
      </c>
      <c r="D14" s="10">
        <v>10731</v>
      </c>
      <c r="E14" s="10">
        <v>10638</v>
      </c>
      <c r="F14" s="10">
        <v>10792</v>
      </c>
      <c r="G14" s="10">
        <v>10507</v>
      </c>
      <c r="H14" s="10">
        <v>10472</v>
      </c>
      <c r="I14" s="10">
        <v>10579</v>
      </c>
      <c r="J14" s="10">
        <v>10650</v>
      </c>
      <c r="K14" s="10">
        <v>10801</v>
      </c>
      <c r="L14" s="10">
        <v>9779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 ht="15.75" customHeight="1" x14ac:dyDescent="0.25">
      <c r="A15" s="2">
        <v>34</v>
      </c>
      <c r="B15" s="2">
        <v>28525</v>
      </c>
      <c r="C15" s="10">
        <v>13434</v>
      </c>
      <c r="D15" s="10">
        <v>13126</v>
      </c>
      <c r="E15" s="10">
        <v>13208</v>
      </c>
      <c r="F15" s="10">
        <v>13442</v>
      </c>
      <c r="G15" s="10">
        <v>13341</v>
      </c>
      <c r="H15" s="10">
        <v>13292</v>
      </c>
      <c r="I15" s="10">
        <v>13136</v>
      </c>
      <c r="J15" s="10">
        <v>13387</v>
      </c>
      <c r="K15" s="10">
        <v>13559</v>
      </c>
      <c r="L15" s="10">
        <v>13662</v>
      </c>
      <c r="M15" s="10">
        <v>12615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ht="15.75" customHeight="1" x14ac:dyDescent="0.25">
      <c r="A16" s="2">
        <v>33</v>
      </c>
      <c r="B16" s="2">
        <v>30221</v>
      </c>
      <c r="C16" s="10">
        <v>14630</v>
      </c>
      <c r="D16" s="10">
        <v>14183</v>
      </c>
      <c r="E16" s="10">
        <v>14230</v>
      </c>
      <c r="F16" s="10">
        <v>14722</v>
      </c>
      <c r="G16" s="10">
        <v>14829</v>
      </c>
      <c r="H16" s="10">
        <v>14817</v>
      </c>
      <c r="I16" s="10">
        <v>14804</v>
      </c>
      <c r="J16" s="10">
        <v>14762</v>
      </c>
      <c r="K16" s="10">
        <v>14796</v>
      </c>
      <c r="L16" s="10">
        <v>14841</v>
      </c>
      <c r="M16" s="10">
        <v>15182</v>
      </c>
      <c r="N16" s="10">
        <v>13856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 ht="15.75" customHeight="1" x14ac:dyDescent="0.25">
      <c r="A17" s="2">
        <v>32</v>
      </c>
      <c r="B17" s="2">
        <v>26927</v>
      </c>
      <c r="C17" s="10">
        <v>12641</v>
      </c>
      <c r="D17" s="10">
        <v>12378</v>
      </c>
      <c r="E17" s="10">
        <v>12511</v>
      </c>
      <c r="F17" s="10">
        <v>12756</v>
      </c>
      <c r="G17" s="10">
        <v>12908</v>
      </c>
      <c r="H17" s="10">
        <v>12918</v>
      </c>
      <c r="I17" s="10">
        <v>13191</v>
      </c>
      <c r="J17" s="10">
        <v>12938</v>
      </c>
      <c r="K17" s="10">
        <v>12885</v>
      </c>
      <c r="L17" s="10">
        <v>13064</v>
      </c>
      <c r="M17" s="10">
        <v>12998</v>
      </c>
      <c r="N17" s="10">
        <v>13155</v>
      </c>
      <c r="O17" s="10">
        <v>11980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 ht="15.75" customHeight="1" x14ac:dyDescent="0.25">
      <c r="A18" s="2">
        <v>31</v>
      </c>
      <c r="B18" s="2">
        <v>26498</v>
      </c>
      <c r="C18" s="10">
        <v>18232</v>
      </c>
      <c r="D18" s="10">
        <v>18216</v>
      </c>
      <c r="E18" s="10">
        <v>18357</v>
      </c>
      <c r="F18" s="10">
        <v>18593</v>
      </c>
      <c r="G18" s="10">
        <v>18750</v>
      </c>
      <c r="H18" s="10">
        <v>19060</v>
      </c>
      <c r="I18" s="10">
        <v>19372</v>
      </c>
      <c r="J18" s="10">
        <v>19466</v>
      </c>
      <c r="K18" s="10">
        <v>19310</v>
      </c>
      <c r="L18" s="10">
        <v>19188</v>
      </c>
      <c r="M18" s="10">
        <v>19548</v>
      </c>
      <c r="N18" s="10">
        <v>19513</v>
      </c>
      <c r="O18" s="10">
        <v>19769</v>
      </c>
      <c r="P18" s="10">
        <v>18175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 ht="15.75" customHeight="1" x14ac:dyDescent="0.25">
      <c r="A19" s="2">
        <v>30</v>
      </c>
      <c r="B19" s="2">
        <v>27814</v>
      </c>
      <c r="C19" s="10">
        <v>18605</v>
      </c>
      <c r="D19" s="10">
        <v>18574</v>
      </c>
      <c r="E19" s="10">
        <v>19010</v>
      </c>
      <c r="F19" s="10">
        <v>19560</v>
      </c>
      <c r="G19" s="10">
        <v>19471</v>
      </c>
      <c r="H19" s="10">
        <v>19569</v>
      </c>
      <c r="I19" s="10">
        <v>20084</v>
      </c>
      <c r="J19" s="10">
        <v>20364</v>
      </c>
      <c r="K19" s="10">
        <v>20475</v>
      </c>
      <c r="L19" s="10">
        <v>20338</v>
      </c>
      <c r="M19" s="10">
        <v>20119</v>
      </c>
      <c r="N19" s="10">
        <v>20228</v>
      </c>
      <c r="O19" s="10">
        <v>20317</v>
      </c>
      <c r="P19" s="10">
        <v>20383</v>
      </c>
      <c r="Q19" s="10">
        <v>18778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46" ht="15.75" customHeight="1" x14ac:dyDescent="0.25">
      <c r="A20" s="2">
        <v>29</v>
      </c>
      <c r="B20" s="2">
        <v>27664</v>
      </c>
      <c r="C20" s="10">
        <v>17970</v>
      </c>
      <c r="D20" s="10">
        <v>17986</v>
      </c>
      <c r="E20" s="10">
        <v>18734</v>
      </c>
      <c r="F20" s="10">
        <v>19597</v>
      </c>
      <c r="G20" s="10">
        <v>19701</v>
      </c>
      <c r="H20" s="10">
        <v>19874</v>
      </c>
      <c r="I20" s="10">
        <v>20077</v>
      </c>
      <c r="J20" s="10">
        <v>20576</v>
      </c>
      <c r="K20" s="10">
        <v>20670</v>
      </c>
      <c r="L20" s="10">
        <v>20519</v>
      </c>
      <c r="M20" s="10">
        <v>20881</v>
      </c>
      <c r="N20" s="10">
        <v>20550</v>
      </c>
      <c r="O20" s="10">
        <v>20661</v>
      </c>
      <c r="P20" s="10">
        <v>20774</v>
      </c>
      <c r="Q20" s="10">
        <v>21032</v>
      </c>
      <c r="R20" s="10">
        <v>18982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 ht="15.75" customHeight="1" x14ac:dyDescent="0.25">
      <c r="A21" s="2">
        <v>28</v>
      </c>
      <c r="B21" s="2">
        <v>26366</v>
      </c>
      <c r="C21" s="10">
        <v>16044</v>
      </c>
      <c r="D21" s="10">
        <v>16685</v>
      </c>
      <c r="E21" s="10">
        <v>18243</v>
      </c>
      <c r="F21" s="10">
        <v>20430</v>
      </c>
      <c r="G21" s="10">
        <v>20459</v>
      </c>
      <c r="H21" s="10">
        <v>20693</v>
      </c>
      <c r="I21" s="10">
        <v>20750</v>
      </c>
      <c r="J21" s="10">
        <v>21053</v>
      </c>
      <c r="K21" s="10">
        <v>21401</v>
      </c>
      <c r="L21" s="10">
        <v>21612</v>
      </c>
      <c r="M21" s="10">
        <v>21648</v>
      </c>
      <c r="N21" s="10">
        <v>21502</v>
      </c>
      <c r="O21" s="10">
        <v>21235</v>
      </c>
      <c r="P21" s="10">
        <v>21148</v>
      </c>
      <c r="Q21" s="10">
        <v>21256</v>
      </c>
      <c r="R21" s="10">
        <v>21449</v>
      </c>
      <c r="S21" s="10">
        <v>19539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 ht="12.5" x14ac:dyDescent="0.25">
      <c r="A22" s="2">
        <v>27</v>
      </c>
      <c r="B22" s="2">
        <v>26140</v>
      </c>
      <c r="C22" s="10">
        <v>15813</v>
      </c>
      <c r="D22" s="10">
        <v>16217</v>
      </c>
      <c r="E22" s="10">
        <v>17564</v>
      </c>
      <c r="F22" s="10">
        <v>19338</v>
      </c>
      <c r="G22" s="10">
        <v>19642</v>
      </c>
      <c r="H22" s="10">
        <v>20138</v>
      </c>
      <c r="I22" s="10">
        <v>20402</v>
      </c>
      <c r="J22" s="10">
        <v>20263</v>
      </c>
      <c r="K22" s="10">
        <v>20389</v>
      </c>
      <c r="L22" s="10">
        <v>21074</v>
      </c>
      <c r="M22" s="10">
        <v>21204</v>
      </c>
      <c r="N22" s="10">
        <v>21224</v>
      </c>
      <c r="O22" s="10">
        <v>21014</v>
      </c>
      <c r="P22" s="10">
        <v>20887</v>
      </c>
      <c r="Q22" s="10">
        <v>20975</v>
      </c>
      <c r="R22" s="10">
        <v>20875</v>
      </c>
      <c r="S22" s="10">
        <v>21066</v>
      </c>
      <c r="T22" s="10">
        <v>19311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ht="12.5" x14ac:dyDescent="0.25">
      <c r="A23" s="2">
        <v>26</v>
      </c>
      <c r="B23" s="2">
        <v>28800</v>
      </c>
      <c r="C23" s="10">
        <v>14464</v>
      </c>
      <c r="D23" s="10">
        <v>15164</v>
      </c>
      <c r="E23" s="10">
        <v>17041</v>
      </c>
      <c r="F23" s="10">
        <v>18753</v>
      </c>
      <c r="G23" s="10">
        <v>19228</v>
      </c>
      <c r="H23" s="10">
        <v>20040</v>
      </c>
      <c r="I23" s="10">
        <v>20603</v>
      </c>
      <c r="J23" s="10">
        <v>21029</v>
      </c>
      <c r="K23" s="10">
        <v>21276</v>
      </c>
      <c r="L23" s="10">
        <v>21281</v>
      </c>
      <c r="M23" s="10">
        <v>21905</v>
      </c>
      <c r="N23" s="10">
        <v>22274</v>
      </c>
      <c r="O23" s="10">
        <v>22256</v>
      </c>
      <c r="P23" s="10">
        <v>22058</v>
      </c>
      <c r="Q23" s="10">
        <v>21531</v>
      </c>
      <c r="R23" s="10">
        <v>21866</v>
      </c>
      <c r="S23" s="10">
        <v>21834</v>
      </c>
      <c r="T23" s="10">
        <v>21740</v>
      </c>
      <c r="U23" s="10">
        <v>20224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 ht="12.5" x14ac:dyDescent="0.25">
      <c r="A24" s="2">
        <v>25</v>
      </c>
      <c r="B24" s="2">
        <v>31688</v>
      </c>
      <c r="C24" s="10">
        <v>38743</v>
      </c>
      <c r="D24" s="10">
        <v>38242</v>
      </c>
      <c r="E24" s="10">
        <v>40323</v>
      </c>
      <c r="F24" s="10">
        <v>44109</v>
      </c>
      <c r="G24" s="10">
        <v>44449</v>
      </c>
      <c r="H24" s="10">
        <v>45579</v>
      </c>
      <c r="I24" s="10">
        <v>46623</v>
      </c>
      <c r="J24" s="10">
        <v>47765</v>
      </c>
      <c r="K24" s="10">
        <v>48369</v>
      </c>
      <c r="L24" s="10">
        <v>48672</v>
      </c>
      <c r="M24" s="10">
        <v>48852</v>
      </c>
      <c r="N24" s="10">
        <v>49680</v>
      </c>
      <c r="O24" s="10">
        <v>50166</v>
      </c>
      <c r="P24" s="10">
        <v>50198</v>
      </c>
      <c r="Q24" s="10">
        <v>49501</v>
      </c>
      <c r="R24" s="10">
        <v>49162</v>
      </c>
      <c r="S24" s="10">
        <v>49454</v>
      </c>
      <c r="T24" s="10">
        <v>48933</v>
      </c>
      <c r="U24" s="10">
        <v>49992</v>
      </c>
      <c r="V24" s="10">
        <v>45159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 ht="12.5" x14ac:dyDescent="0.25">
      <c r="A25" s="2">
        <v>24</v>
      </c>
      <c r="B25" s="2">
        <v>30330</v>
      </c>
      <c r="C25" s="10">
        <v>55994</v>
      </c>
      <c r="D25" s="10">
        <v>53975</v>
      </c>
      <c r="E25" s="10">
        <v>55146</v>
      </c>
      <c r="F25" s="10">
        <v>58686</v>
      </c>
      <c r="G25" s="10">
        <v>59188</v>
      </c>
      <c r="H25" s="10">
        <v>60362</v>
      </c>
      <c r="I25" s="10">
        <v>61771</v>
      </c>
      <c r="J25" s="10">
        <v>63177</v>
      </c>
      <c r="K25" s="10">
        <v>64455</v>
      </c>
      <c r="L25" s="10">
        <v>65022</v>
      </c>
      <c r="M25" s="10">
        <v>64871</v>
      </c>
      <c r="N25" s="10">
        <v>64562</v>
      </c>
      <c r="O25" s="10">
        <v>67322</v>
      </c>
      <c r="P25" s="10">
        <v>67597</v>
      </c>
      <c r="Q25" s="10">
        <v>66927</v>
      </c>
      <c r="R25" s="10">
        <v>65639</v>
      </c>
      <c r="S25" s="10">
        <v>65282</v>
      </c>
      <c r="T25" s="10">
        <v>65129</v>
      </c>
      <c r="U25" s="10">
        <v>65278</v>
      </c>
      <c r="V25" s="10">
        <v>66384</v>
      </c>
      <c r="W25" s="10">
        <v>60159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ht="12.5" x14ac:dyDescent="0.25">
      <c r="A26" s="2">
        <v>23</v>
      </c>
      <c r="B26" s="2">
        <v>24364</v>
      </c>
      <c r="C26" s="10">
        <v>20952</v>
      </c>
      <c r="D26" s="10">
        <v>20986</v>
      </c>
      <c r="E26" s="10">
        <v>21196</v>
      </c>
      <c r="F26" s="10">
        <v>21668</v>
      </c>
      <c r="G26" s="10">
        <v>22128</v>
      </c>
      <c r="H26" s="10">
        <v>22766</v>
      </c>
      <c r="I26" s="10">
        <v>23169</v>
      </c>
      <c r="J26" s="10">
        <v>23551</v>
      </c>
      <c r="K26" s="10">
        <v>24117</v>
      </c>
      <c r="L26" s="10">
        <v>24530</v>
      </c>
      <c r="M26" s="10">
        <v>24614</v>
      </c>
      <c r="N26" s="10">
        <v>24392</v>
      </c>
      <c r="O26" s="10">
        <v>24647</v>
      </c>
      <c r="P26" s="10">
        <v>25214</v>
      </c>
      <c r="Q26" s="10">
        <v>25056</v>
      </c>
      <c r="R26" s="10">
        <v>24955</v>
      </c>
      <c r="S26" s="10">
        <v>24712</v>
      </c>
      <c r="T26" s="10">
        <v>24533</v>
      </c>
      <c r="U26" s="10">
        <v>24617</v>
      </c>
      <c r="V26" s="10">
        <v>24645</v>
      </c>
      <c r="W26" s="10">
        <v>24742</v>
      </c>
      <c r="X26" s="10">
        <v>22369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ht="12.5" x14ac:dyDescent="0.25">
      <c r="A27" s="2">
        <v>22</v>
      </c>
      <c r="B27" s="2">
        <v>21213</v>
      </c>
      <c r="C27" s="10">
        <v>17804</v>
      </c>
      <c r="D27" s="10">
        <v>18039</v>
      </c>
      <c r="E27" s="10">
        <v>18775</v>
      </c>
      <c r="F27" s="10">
        <v>19219</v>
      </c>
      <c r="G27" s="10">
        <v>19113</v>
      </c>
      <c r="H27" s="10">
        <v>19897</v>
      </c>
      <c r="I27" s="10">
        <v>20164</v>
      </c>
      <c r="J27" s="10">
        <v>20281</v>
      </c>
      <c r="K27" s="10">
        <v>20655</v>
      </c>
      <c r="L27" s="10">
        <v>21271</v>
      </c>
      <c r="M27" s="10">
        <v>21564</v>
      </c>
      <c r="N27" s="10">
        <v>21729</v>
      </c>
      <c r="O27" s="10">
        <v>21296</v>
      </c>
      <c r="P27" s="10">
        <v>21828</v>
      </c>
      <c r="Q27" s="10">
        <v>22148</v>
      </c>
      <c r="R27" s="10">
        <v>21936</v>
      </c>
      <c r="S27" s="10">
        <v>22121</v>
      </c>
      <c r="T27" s="10">
        <v>21611</v>
      </c>
      <c r="U27" s="10">
        <v>21120</v>
      </c>
      <c r="V27" s="10">
        <v>21340</v>
      </c>
      <c r="W27" s="10">
        <v>21130</v>
      </c>
      <c r="X27" s="10">
        <v>21554</v>
      </c>
      <c r="Y27" s="10">
        <v>19746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ht="12.5" x14ac:dyDescent="0.25">
      <c r="A28" s="2">
        <v>21</v>
      </c>
      <c r="B28" s="2">
        <v>24263</v>
      </c>
      <c r="C28" s="10">
        <v>20780</v>
      </c>
      <c r="D28" s="10">
        <v>20983</v>
      </c>
      <c r="E28" s="10">
        <v>21824</v>
      </c>
      <c r="F28" s="10">
        <v>22654</v>
      </c>
      <c r="G28" s="10">
        <v>22364</v>
      </c>
      <c r="H28" s="10">
        <v>22541</v>
      </c>
      <c r="I28" s="10">
        <v>23379</v>
      </c>
      <c r="J28" s="10">
        <v>23485</v>
      </c>
      <c r="K28" s="10">
        <v>23618</v>
      </c>
      <c r="L28" s="10">
        <v>24165</v>
      </c>
      <c r="M28" s="10">
        <v>24616</v>
      </c>
      <c r="N28" s="10">
        <v>24946</v>
      </c>
      <c r="O28" s="10">
        <v>24985</v>
      </c>
      <c r="P28" s="10">
        <v>24667</v>
      </c>
      <c r="Q28" s="10">
        <v>24927</v>
      </c>
      <c r="R28" s="10">
        <v>25484</v>
      </c>
      <c r="S28" s="10">
        <v>25716</v>
      </c>
      <c r="T28" s="10">
        <v>25483</v>
      </c>
      <c r="U28" s="10">
        <v>25109</v>
      </c>
      <c r="V28" s="10">
        <v>24728</v>
      </c>
      <c r="W28" s="10">
        <v>24929</v>
      </c>
      <c r="X28" s="10">
        <v>24819</v>
      </c>
      <c r="Y28" s="10">
        <v>24964</v>
      </c>
      <c r="Z28" s="10">
        <v>22469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 ht="12.5" x14ac:dyDescent="0.25">
      <c r="A29" s="2">
        <v>20</v>
      </c>
      <c r="B29" s="2">
        <v>24753</v>
      </c>
      <c r="C29" s="10">
        <v>22217</v>
      </c>
      <c r="D29" s="10">
        <v>22251</v>
      </c>
      <c r="E29" s="10">
        <v>23268</v>
      </c>
      <c r="F29" s="10">
        <v>24697</v>
      </c>
      <c r="G29" s="10">
        <v>24845</v>
      </c>
      <c r="H29" s="10">
        <v>24513</v>
      </c>
      <c r="I29" s="10">
        <v>24760</v>
      </c>
      <c r="J29" s="10">
        <v>25839</v>
      </c>
      <c r="K29" s="10">
        <v>25764</v>
      </c>
      <c r="L29" s="10">
        <v>25836</v>
      </c>
      <c r="M29" s="10">
        <v>26215</v>
      </c>
      <c r="N29" s="10">
        <v>26658</v>
      </c>
      <c r="O29" s="10">
        <v>27018</v>
      </c>
      <c r="P29" s="10">
        <v>26974</v>
      </c>
      <c r="Q29" s="10">
        <v>26802</v>
      </c>
      <c r="R29" s="10">
        <v>26598</v>
      </c>
      <c r="S29" s="10">
        <v>27188</v>
      </c>
      <c r="T29" s="10">
        <v>27182</v>
      </c>
      <c r="U29" s="10">
        <v>26920</v>
      </c>
      <c r="V29" s="10">
        <v>26748</v>
      </c>
      <c r="W29" s="10">
        <v>26074</v>
      </c>
      <c r="X29" s="10">
        <v>25961</v>
      </c>
      <c r="Y29" s="10">
        <v>25965</v>
      </c>
      <c r="Z29" s="10">
        <v>26080</v>
      </c>
      <c r="AA29" s="10">
        <v>23680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spans="1:46" ht="12.5" x14ac:dyDescent="0.25">
      <c r="A30" s="2">
        <v>19</v>
      </c>
      <c r="B30" s="2">
        <v>18337</v>
      </c>
      <c r="C30" s="10">
        <v>15272</v>
      </c>
      <c r="D30" s="10">
        <v>15351</v>
      </c>
      <c r="E30" s="10">
        <v>16388</v>
      </c>
      <c r="F30" s="10">
        <v>17777</v>
      </c>
      <c r="G30" s="10">
        <v>17811</v>
      </c>
      <c r="H30" s="10">
        <v>17969</v>
      </c>
      <c r="I30" s="10">
        <v>17850</v>
      </c>
      <c r="J30" s="10">
        <v>17986</v>
      </c>
      <c r="K30" s="10">
        <v>18513</v>
      </c>
      <c r="L30" s="10">
        <v>18810</v>
      </c>
      <c r="M30" s="10">
        <v>18712</v>
      </c>
      <c r="N30" s="10">
        <v>19092</v>
      </c>
      <c r="O30" s="10">
        <v>19352</v>
      </c>
      <c r="P30" s="10">
        <v>19293</v>
      </c>
      <c r="Q30" s="10">
        <v>19311</v>
      </c>
      <c r="R30" s="10">
        <v>19279</v>
      </c>
      <c r="S30" s="10">
        <v>19224</v>
      </c>
      <c r="T30" s="10">
        <v>19841</v>
      </c>
      <c r="U30" s="10">
        <v>19412</v>
      </c>
      <c r="V30" s="10">
        <v>19496</v>
      </c>
      <c r="W30" s="10">
        <v>19006</v>
      </c>
      <c r="X30" s="10">
        <v>18565</v>
      </c>
      <c r="Y30" s="10">
        <v>18497</v>
      </c>
      <c r="Z30" s="10">
        <v>18574</v>
      </c>
      <c r="AA30" s="10">
        <v>18273</v>
      </c>
      <c r="AB30" s="10">
        <v>16686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spans="1:46" ht="12.5" x14ac:dyDescent="0.25">
      <c r="A31" s="2">
        <v>18</v>
      </c>
      <c r="B31" s="2">
        <v>14603</v>
      </c>
      <c r="C31" s="10">
        <v>11581</v>
      </c>
      <c r="D31" s="10">
        <v>11601</v>
      </c>
      <c r="E31" s="10">
        <v>11814</v>
      </c>
      <c r="F31" s="10">
        <v>12585</v>
      </c>
      <c r="G31" s="10">
        <v>12515</v>
      </c>
      <c r="H31" s="10">
        <v>12663</v>
      </c>
      <c r="I31" s="10">
        <v>12756</v>
      </c>
      <c r="J31" s="10">
        <v>12484</v>
      </c>
      <c r="K31" s="10">
        <v>12565</v>
      </c>
      <c r="L31" s="10">
        <v>13105</v>
      </c>
      <c r="M31" s="10">
        <v>13137</v>
      </c>
      <c r="N31" s="10">
        <v>13152</v>
      </c>
      <c r="O31" s="10">
        <v>13221</v>
      </c>
      <c r="P31" s="10">
        <v>13232</v>
      </c>
      <c r="Q31" s="10">
        <v>13454</v>
      </c>
      <c r="R31" s="10">
        <v>13673</v>
      </c>
      <c r="S31" s="10">
        <v>13291</v>
      </c>
      <c r="T31" s="10">
        <v>13343</v>
      </c>
      <c r="U31" s="10">
        <v>13701</v>
      </c>
      <c r="V31" s="10">
        <v>13568</v>
      </c>
      <c r="W31" s="10">
        <v>13442</v>
      </c>
      <c r="X31" s="10">
        <v>13300</v>
      </c>
      <c r="Y31" s="10">
        <v>12901</v>
      </c>
      <c r="Z31" s="10">
        <v>12874</v>
      </c>
      <c r="AA31" s="10">
        <v>12848</v>
      </c>
      <c r="AB31" s="10">
        <v>12822</v>
      </c>
      <c r="AC31" s="10">
        <v>11553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spans="1:46" ht="12.5" x14ac:dyDescent="0.25">
      <c r="A32" s="2">
        <v>17</v>
      </c>
      <c r="B32" s="2">
        <v>14565</v>
      </c>
      <c r="C32" s="10">
        <v>11745</v>
      </c>
      <c r="D32" s="10">
        <v>11525</v>
      </c>
      <c r="E32" s="10">
        <v>11933</v>
      </c>
      <c r="F32" s="10">
        <v>12284</v>
      </c>
      <c r="G32" s="10">
        <v>12351</v>
      </c>
      <c r="H32" s="10">
        <v>12607</v>
      </c>
      <c r="I32" s="10">
        <v>12981</v>
      </c>
      <c r="J32" s="10">
        <v>12886</v>
      </c>
      <c r="K32" s="10">
        <v>12545</v>
      </c>
      <c r="L32" s="10">
        <v>12608</v>
      </c>
      <c r="M32" s="10">
        <v>13070</v>
      </c>
      <c r="N32" s="10">
        <v>13009</v>
      </c>
      <c r="O32" s="10">
        <v>13126</v>
      </c>
      <c r="P32" s="10">
        <v>13196</v>
      </c>
      <c r="Q32" s="10">
        <v>13340</v>
      </c>
      <c r="R32" s="10">
        <v>13629</v>
      </c>
      <c r="S32" s="10">
        <v>13370</v>
      </c>
      <c r="T32" s="10">
        <v>13151</v>
      </c>
      <c r="U32" s="10">
        <v>13375</v>
      </c>
      <c r="V32" s="10">
        <v>13523</v>
      </c>
      <c r="W32" s="10">
        <v>13442</v>
      </c>
      <c r="X32" s="10">
        <v>13146</v>
      </c>
      <c r="Y32" s="10">
        <v>13052</v>
      </c>
      <c r="Z32" s="10">
        <v>12931</v>
      </c>
      <c r="AA32" s="10">
        <v>12918</v>
      </c>
      <c r="AB32" s="10">
        <v>12747</v>
      </c>
      <c r="AC32" s="10">
        <v>12675</v>
      </c>
      <c r="AD32" s="10">
        <v>11194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</row>
    <row r="33" spans="1:46" ht="12.5" x14ac:dyDescent="0.25">
      <c r="A33" s="2">
        <v>16</v>
      </c>
      <c r="B33" s="2">
        <v>14336</v>
      </c>
      <c r="C33" s="10">
        <v>11729</v>
      </c>
      <c r="D33" s="10">
        <v>11501</v>
      </c>
      <c r="E33" s="10">
        <v>11943</v>
      </c>
      <c r="F33" s="10">
        <v>12643</v>
      </c>
      <c r="G33" s="10">
        <v>12368</v>
      </c>
      <c r="H33" s="10">
        <v>12537</v>
      </c>
      <c r="I33" s="10">
        <v>12844</v>
      </c>
      <c r="J33" s="10">
        <v>13203</v>
      </c>
      <c r="K33" s="10">
        <v>13175</v>
      </c>
      <c r="L33" s="10">
        <v>12849</v>
      </c>
      <c r="M33" s="10">
        <v>12803</v>
      </c>
      <c r="N33" s="10">
        <v>13094</v>
      </c>
      <c r="O33" s="10">
        <v>13395</v>
      </c>
      <c r="P33" s="10">
        <v>13469</v>
      </c>
      <c r="Q33" s="10">
        <v>13463</v>
      </c>
      <c r="R33" s="10">
        <v>13558</v>
      </c>
      <c r="S33" s="10">
        <v>13857</v>
      </c>
      <c r="T33" s="10">
        <v>13660</v>
      </c>
      <c r="U33" s="10">
        <v>13230</v>
      </c>
      <c r="V33" s="10">
        <v>13148</v>
      </c>
      <c r="W33" s="10">
        <v>13518</v>
      </c>
      <c r="X33" s="10">
        <v>13549</v>
      </c>
      <c r="Y33" s="10">
        <v>13296</v>
      </c>
      <c r="Z33" s="10">
        <v>13023</v>
      </c>
      <c r="AA33" s="10">
        <v>12482</v>
      </c>
      <c r="AB33" s="10">
        <v>12559</v>
      </c>
      <c r="AC33" s="10">
        <v>12583</v>
      </c>
      <c r="AD33" s="10">
        <v>12556</v>
      </c>
      <c r="AE33" s="10">
        <v>11139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</row>
    <row r="34" spans="1:46" ht="12.5" x14ac:dyDescent="0.25">
      <c r="A34" s="2">
        <v>15</v>
      </c>
      <c r="B34" s="2">
        <v>27968</v>
      </c>
      <c r="C34" s="10">
        <v>19229</v>
      </c>
      <c r="D34" s="10">
        <v>24916</v>
      </c>
      <c r="E34" s="10">
        <v>33240</v>
      </c>
      <c r="F34" s="10">
        <v>39507</v>
      </c>
      <c r="G34" s="10">
        <v>39449</v>
      </c>
      <c r="H34" s="10">
        <v>39067</v>
      </c>
      <c r="I34" s="10">
        <v>39288</v>
      </c>
      <c r="J34" s="10">
        <v>40115</v>
      </c>
      <c r="K34" s="10">
        <v>40636</v>
      </c>
      <c r="L34" s="10">
        <v>40844</v>
      </c>
      <c r="M34" s="10">
        <v>40773</v>
      </c>
      <c r="N34" s="10">
        <v>41091</v>
      </c>
      <c r="O34" s="10">
        <v>41364</v>
      </c>
      <c r="P34" s="10">
        <v>41227</v>
      </c>
      <c r="Q34" s="10">
        <v>40659</v>
      </c>
      <c r="R34" s="10">
        <v>40981</v>
      </c>
      <c r="S34" s="10">
        <v>41499</v>
      </c>
      <c r="T34" s="10">
        <v>42180</v>
      </c>
      <c r="U34" s="10">
        <v>41534</v>
      </c>
      <c r="V34" s="10">
        <v>41131</v>
      </c>
      <c r="W34" s="10">
        <v>40778</v>
      </c>
      <c r="X34" s="10">
        <v>41286</v>
      </c>
      <c r="Y34" s="10">
        <v>41252</v>
      </c>
      <c r="Z34" s="10">
        <v>40838</v>
      </c>
      <c r="AA34" s="10">
        <v>40173</v>
      </c>
      <c r="AB34" s="10">
        <v>39367</v>
      </c>
      <c r="AC34" s="10">
        <v>39342</v>
      </c>
      <c r="AD34" s="10">
        <v>39291</v>
      </c>
      <c r="AE34" s="10">
        <v>39214</v>
      </c>
      <c r="AF34" s="10">
        <v>37341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</row>
    <row r="35" spans="1:46" ht="12.5" x14ac:dyDescent="0.25">
      <c r="A35" s="2">
        <v>14</v>
      </c>
      <c r="B35" s="2">
        <v>14311</v>
      </c>
      <c r="C35" s="10">
        <v>13311</v>
      </c>
      <c r="D35" s="10">
        <v>13217</v>
      </c>
      <c r="E35" s="10">
        <v>13745</v>
      </c>
      <c r="F35" s="10">
        <v>14554</v>
      </c>
      <c r="G35" s="10">
        <v>14736</v>
      </c>
      <c r="H35" s="10">
        <v>15062</v>
      </c>
      <c r="I35" s="10">
        <v>15127</v>
      </c>
      <c r="J35" s="10">
        <v>15393</v>
      </c>
      <c r="K35" s="10">
        <v>15766</v>
      </c>
      <c r="L35" s="10">
        <v>16005</v>
      </c>
      <c r="M35" s="10">
        <v>16165</v>
      </c>
      <c r="N35" s="10">
        <v>15877</v>
      </c>
      <c r="O35" s="10">
        <v>16088</v>
      </c>
      <c r="P35" s="10">
        <v>16055</v>
      </c>
      <c r="Q35" s="10">
        <v>16092</v>
      </c>
      <c r="R35" s="10">
        <v>16247</v>
      </c>
      <c r="S35" s="10">
        <v>16380</v>
      </c>
      <c r="T35" s="10">
        <v>16582</v>
      </c>
      <c r="U35" s="10">
        <v>16794</v>
      </c>
      <c r="V35" s="10">
        <v>16894</v>
      </c>
      <c r="W35" s="10">
        <v>16447</v>
      </c>
      <c r="X35" s="10">
        <v>16078</v>
      </c>
      <c r="Y35" s="10">
        <v>16632</v>
      </c>
      <c r="Z35" s="10">
        <v>16360</v>
      </c>
      <c r="AA35" s="10">
        <v>16640</v>
      </c>
      <c r="AB35" s="10">
        <v>16137</v>
      </c>
      <c r="AC35" s="10">
        <v>15953</v>
      </c>
      <c r="AD35" s="10">
        <v>15761</v>
      </c>
      <c r="AE35" s="10">
        <v>15791</v>
      </c>
      <c r="AF35" s="10">
        <v>15779</v>
      </c>
      <c r="AG35" s="10">
        <v>14510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</row>
    <row r="36" spans="1:46" ht="12.5" x14ac:dyDescent="0.25">
      <c r="A36" s="2">
        <v>13</v>
      </c>
      <c r="B36" s="2">
        <v>11567</v>
      </c>
      <c r="C36" s="10">
        <v>10284</v>
      </c>
      <c r="D36" s="10">
        <v>10173</v>
      </c>
      <c r="E36" s="10">
        <v>10269</v>
      </c>
      <c r="F36" s="10">
        <v>10753</v>
      </c>
      <c r="G36" s="10">
        <v>10737</v>
      </c>
      <c r="H36" s="10">
        <v>11183</v>
      </c>
      <c r="I36" s="10">
        <v>11327</v>
      </c>
      <c r="J36" s="10">
        <v>11370</v>
      </c>
      <c r="K36" s="10">
        <v>11527</v>
      </c>
      <c r="L36" s="10">
        <v>11843</v>
      </c>
      <c r="M36" s="10">
        <v>11915</v>
      </c>
      <c r="N36" s="10">
        <v>11977</v>
      </c>
      <c r="O36" s="10">
        <v>11729</v>
      </c>
      <c r="P36" s="10">
        <v>11906</v>
      </c>
      <c r="Q36" s="10">
        <v>11944</v>
      </c>
      <c r="R36" s="10">
        <v>12049</v>
      </c>
      <c r="S36" s="10">
        <v>11881</v>
      </c>
      <c r="T36" s="10">
        <v>11971</v>
      </c>
      <c r="U36" s="10">
        <v>12044</v>
      </c>
      <c r="V36" s="10">
        <v>12374</v>
      </c>
      <c r="W36" s="10">
        <v>12333</v>
      </c>
      <c r="X36" s="10">
        <v>12286</v>
      </c>
      <c r="Y36" s="10">
        <v>12151</v>
      </c>
      <c r="Z36" s="10">
        <v>12467</v>
      </c>
      <c r="AA36" s="10">
        <v>12246</v>
      </c>
      <c r="AB36" s="10">
        <v>12041</v>
      </c>
      <c r="AC36" s="10">
        <v>11830</v>
      </c>
      <c r="AD36" s="10">
        <v>11750</v>
      </c>
      <c r="AE36" s="10">
        <v>11576</v>
      </c>
      <c r="AF36" s="10">
        <v>11460</v>
      </c>
      <c r="AG36" s="10">
        <v>11520</v>
      </c>
      <c r="AH36" s="10">
        <v>10201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 spans="1:46" ht="12.5" x14ac:dyDescent="0.25">
      <c r="A37" s="2">
        <v>12</v>
      </c>
      <c r="B37" s="2">
        <v>14362</v>
      </c>
      <c r="C37" s="10">
        <v>10214</v>
      </c>
      <c r="D37" s="10">
        <v>11095</v>
      </c>
      <c r="E37" s="10">
        <v>11400</v>
      </c>
      <c r="F37" s="10">
        <v>11763</v>
      </c>
      <c r="G37" s="10">
        <v>11859</v>
      </c>
      <c r="H37" s="10">
        <v>12370</v>
      </c>
      <c r="I37" s="10">
        <v>13023</v>
      </c>
      <c r="J37" s="10">
        <v>13101</v>
      </c>
      <c r="K37" s="10">
        <v>13233</v>
      </c>
      <c r="L37" s="10">
        <v>13457</v>
      </c>
      <c r="M37" s="10">
        <v>13870</v>
      </c>
      <c r="N37" s="10">
        <v>14090</v>
      </c>
      <c r="O37" s="10">
        <v>14176</v>
      </c>
      <c r="P37" s="10">
        <v>14118</v>
      </c>
      <c r="Q37" s="10">
        <v>14122</v>
      </c>
      <c r="R37" s="10">
        <v>14276</v>
      </c>
      <c r="S37" s="10">
        <v>14259</v>
      </c>
      <c r="T37" s="10">
        <v>14494</v>
      </c>
      <c r="U37" s="10">
        <v>14540</v>
      </c>
      <c r="V37" s="10">
        <v>14694</v>
      </c>
      <c r="W37" s="10">
        <v>14859</v>
      </c>
      <c r="X37" s="10">
        <v>14854</v>
      </c>
      <c r="Y37" s="10">
        <v>14690</v>
      </c>
      <c r="Z37" s="10">
        <v>14610</v>
      </c>
      <c r="AA37" s="10">
        <v>15053</v>
      </c>
      <c r="AB37" s="10">
        <v>14708</v>
      </c>
      <c r="AC37" s="10">
        <v>14651</v>
      </c>
      <c r="AD37" s="10">
        <v>14762</v>
      </c>
      <c r="AE37" s="10">
        <v>14233</v>
      </c>
      <c r="AF37" s="10">
        <v>14230</v>
      </c>
      <c r="AG37" s="10">
        <v>13984</v>
      </c>
      <c r="AH37" s="10">
        <v>14062</v>
      </c>
      <c r="AI37" s="10">
        <v>12610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spans="1:46" ht="12.5" x14ac:dyDescent="0.25">
      <c r="A38" s="2">
        <v>11</v>
      </c>
      <c r="B38" s="2">
        <v>18709</v>
      </c>
      <c r="C38" s="10">
        <v>12171</v>
      </c>
      <c r="D38" s="10">
        <v>11122</v>
      </c>
      <c r="E38" s="10">
        <v>12551</v>
      </c>
      <c r="F38" s="10">
        <v>13267</v>
      </c>
      <c r="G38" s="10">
        <v>13444</v>
      </c>
      <c r="H38" s="10">
        <v>13979</v>
      </c>
      <c r="I38" s="10">
        <v>14566</v>
      </c>
      <c r="J38" s="10">
        <v>15341</v>
      </c>
      <c r="K38" s="10">
        <v>15790</v>
      </c>
      <c r="L38" s="10">
        <v>15780</v>
      </c>
      <c r="M38" s="10">
        <v>16122</v>
      </c>
      <c r="N38" s="10">
        <v>16441</v>
      </c>
      <c r="O38" s="10">
        <v>17031</v>
      </c>
      <c r="P38" s="10">
        <v>17017</v>
      </c>
      <c r="Q38" s="10">
        <v>17089</v>
      </c>
      <c r="R38" s="10">
        <v>17203</v>
      </c>
      <c r="S38" s="10">
        <v>17192</v>
      </c>
      <c r="T38" s="10">
        <v>17156</v>
      </c>
      <c r="U38" s="10">
        <v>17511</v>
      </c>
      <c r="V38" s="10">
        <v>17641</v>
      </c>
      <c r="W38" s="10">
        <v>17801</v>
      </c>
      <c r="X38" s="10">
        <v>18054</v>
      </c>
      <c r="Y38" s="10">
        <v>18382</v>
      </c>
      <c r="Z38" s="10">
        <v>17990</v>
      </c>
      <c r="AA38" s="10">
        <v>17996</v>
      </c>
      <c r="AB38" s="10">
        <v>18562</v>
      </c>
      <c r="AC38" s="10">
        <v>18289</v>
      </c>
      <c r="AD38" s="10">
        <v>18072</v>
      </c>
      <c r="AE38" s="10">
        <v>17597</v>
      </c>
      <c r="AF38" s="10">
        <v>17318</v>
      </c>
      <c r="AG38" s="10">
        <v>17004</v>
      </c>
      <c r="AH38" s="10">
        <v>16838</v>
      </c>
      <c r="AI38" s="10">
        <v>16747</v>
      </c>
      <c r="AJ38" s="10">
        <v>15123</v>
      </c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spans="1:46" ht="12.5" x14ac:dyDescent="0.25">
      <c r="A39" s="2">
        <v>10</v>
      </c>
      <c r="B39" s="2">
        <v>21946</v>
      </c>
      <c r="C39" s="10">
        <v>18509</v>
      </c>
      <c r="D39" s="10">
        <v>18547</v>
      </c>
      <c r="E39" s="10">
        <v>18022</v>
      </c>
      <c r="F39" s="10">
        <v>19196</v>
      </c>
      <c r="G39" s="10">
        <v>19199</v>
      </c>
      <c r="H39" s="10">
        <v>19765</v>
      </c>
      <c r="I39" s="10">
        <v>20217</v>
      </c>
      <c r="J39" s="10">
        <v>20713</v>
      </c>
      <c r="K39" s="10">
        <v>21592</v>
      </c>
      <c r="L39" s="10">
        <v>21771</v>
      </c>
      <c r="M39" s="10">
        <v>21848</v>
      </c>
      <c r="N39" s="10">
        <v>22062</v>
      </c>
      <c r="O39" s="10">
        <v>22619</v>
      </c>
      <c r="P39" s="10">
        <v>22803</v>
      </c>
      <c r="Q39" s="10">
        <v>23088</v>
      </c>
      <c r="R39" s="10">
        <v>23006</v>
      </c>
      <c r="S39" s="10">
        <v>22618</v>
      </c>
      <c r="T39" s="10">
        <v>22920</v>
      </c>
      <c r="U39" s="10">
        <v>23313</v>
      </c>
      <c r="V39" s="10">
        <v>23305</v>
      </c>
      <c r="W39" s="10">
        <v>23528</v>
      </c>
      <c r="X39" s="10">
        <v>23889</v>
      </c>
      <c r="Y39" s="10">
        <v>24254</v>
      </c>
      <c r="Z39" s="10">
        <v>24242</v>
      </c>
      <c r="AA39" s="10">
        <v>23773</v>
      </c>
      <c r="AB39" s="10">
        <v>23594</v>
      </c>
      <c r="AC39" s="10">
        <v>23880</v>
      </c>
      <c r="AD39" s="10">
        <v>24047</v>
      </c>
      <c r="AE39" s="10">
        <v>23624</v>
      </c>
      <c r="AF39" s="10">
        <v>23468</v>
      </c>
      <c r="AG39" s="10">
        <v>22588</v>
      </c>
      <c r="AH39" s="10">
        <v>22447</v>
      </c>
      <c r="AI39" s="10">
        <v>22150</v>
      </c>
      <c r="AJ39" s="10">
        <v>22383</v>
      </c>
      <c r="AK39" s="10">
        <v>19236</v>
      </c>
      <c r="AL39" s="10"/>
      <c r="AM39" s="10"/>
      <c r="AN39" s="10"/>
      <c r="AO39" s="10"/>
      <c r="AP39" s="10"/>
      <c r="AQ39" s="10"/>
      <c r="AR39" s="10"/>
      <c r="AS39" s="10"/>
      <c r="AT39" s="10"/>
    </row>
    <row r="40" spans="1:46" ht="12.5" x14ac:dyDescent="0.25">
      <c r="A40" s="2">
        <v>9</v>
      </c>
      <c r="B40" s="2">
        <v>13502</v>
      </c>
      <c r="C40" s="10">
        <v>13377</v>
      </c>
      <c r="D40" s="10">
        <v>12784</v>
      </c>
      <c r="E40" s="10">
        <v>13084</v>
      </c>
      <c r="F40" s="10">
        <v>13110</v>
      </c>
      <c r="G40" s="10">
        <v>13172</v>
      </c>
      <c r="H40" s="10">
        <v>13548</v>
      </c>
      <c r="I40" s="10">
        <v>13704</v>
      </c>
      <c r="J40" s="10">
        <v>13892</v>
      </c>
      <c r="K40" s="10">
        <v>14094</v>
      </c>
      <c r="L40" s="10">
        <v>14838</v>
      </c>
      <c r="M40" s="10">
        <v>14752</v>
      </c>
      <c r="N40" s="10">
        <v>14610</v>
      </c>
      <c r="O40" s="10">
        <v>15108</v>
      </c>
      <c r="P40" s="10">
        <v>15080</v>
      </c>
      <c r="Q40" s="10">
        <v>15395</v>
      </c>
      <c r="R40" s="10">
        <v>15313</v>
      </c>
      <c r="S40" s="10">
        <v>15246</v>
      </c>
      <c r="T40" s="10">
        <v>15165</v>
      </c>
      <c r="U40" s="10">
        <v>15035</v>
      </c>
      <c r="V40" s="10">
        <v>15346</v>
      </c>
      <c r="W40" s="10">
        <v>15648</v>
      </c>
      <c r="X40" s="10">
        <v>15699</v>
      </c>
      <c r="Y40" s="10">
        <v>16067</v>
      </c>
      <c r="Z40" s="10">
        <v>16351</v>
      </c>
      <c r="AA40" s="10">
        <v>16024</v>
      </c>
      <c r="AB40" s="10">
        <v>16101</v>
      </c>
      <c r="AC40" s="10">
        <v>16094</v>
      </c>
      <c r="AD40" s="10">
        <v>16023</v>
      </c>
      <c r="AE40" s="10">
        <v>16103</v>
      </c>
      <c r="AF40" s="10">
        <v>16059</v>
      </c>
      <c r="AG40" s="10">
        <v>15553</v>
      </c>
      <c r="AH40" s="10">
        <v>14904</v>
      </c>
      <c r="AI40" s="10">
        <v>14764</v>
      </c>
      <c r="AJ40" s="10">
        <v>14957</v>
      </c>
      <c r="AK40" s="10">
        <v>14904</v>
      </c>
      <c r="AL40" s="10">
        <v>13300</v>
      </c>
      <c r="AM40" s="10"/>
      <c r="AN40" s="10"/>
      <c r="AO40" s="10"/>
      <c r="AP40" s="10"/>
      <c r="AQ40" s="10"/>
      <c r="AR40" s="10"/>
      <c r="AS40" s="10"/>
      <c r="AT40" s="10"/>
    </row>
    <row r="41" spans="1:46" ht="12.5" x14ac:dyDescent="0.25">
      <c r="A41" s="2">
        <v>8</v>
      </c>
      <c r="B41" s="2">
        <v>13102</v>
      </c>
      <c r="C41" s="10">
        <v>12503</v>
      </c>
      <c r="D41" s="10">
        <v>13396</v>
      </c>
      <c r="E41" s="10">
        <v>13137</v>
      </c>
      <c r="F41" s="10">
        <v>13601</v>
      </c>
      <c r="G41" s="10">
        <v>13275</v>
      </c>
      <c r="H41" s="10">
        <v>13705</v>
      </c>
      <c r="I41" s="10">
        <v>13762</v>
      </c>
      <c r="J41" s="10">
        <v>14120</v>
      </c>
      <c r="K41" s="10">
        <v>14345</v>
      </c>
      <c r="L41" s="10">
        <v>14560</v>
      </c>
      <c r="M41" s="10">
        <v>15106</v>
      </c>
      <c r="N41" s="10">
        <v>15283</v>
      </c>
      <c r="O41" s="10">
        <v>15072</v>
      </c>
      <c r="P41" s="10">
        <v>15256</v>
      </c>
      <c r="Q41" s="10">
        <v>15378</v>
      </c>
      <c r="R41" s="10">
        <v>15662</v>
      </c>
      <c r="S41" s="10">
        <v>15865</v>
      </c>
      <c r="T41" s="10">
        <v>15493</v>
      </c>
      <c r="U41" s="10">
        <v>15525</v>
      </c>
      <c r="V41" s="10">
        <v>15706</v>
      </c>
      <c r="W41" s="10">
        <v>16016</v>
      </c>
      <c r="X41" s="10">
        <v>15973</v>
      </c>
      <c r="Y41" s="10">
        <v>16168</v>
      </c>
      <c r="Z41" s="10">
        <v>16393</v>
      </c>
      <c r="AA41" s="10">
        <v>16558</v>
      </c>
      <c r="AB41" s="10">
        <v>16299</v>
      </c>
      <c r="AC41" s="10">
        <v>16186</v>
      </c>
      <c r="AD41" s="10">
        <v>15967</v>
      </c>
      <c r="AE41" s="10">
        <v>16207</v>
      </c>
      <c r="AF41" s="10">
        <v>16326</v>
      </c>
      <c r="AG41" s="10">
        <v>15842</v>
      </c>
      <c r="AH41" s="10">
        <v>15795</v>
      </c>
      <c r="AI41" s="10">
        <v>15249</v>
      </c>
      <c r="AJ41" s="10">
        <v>14987</v>
      </c>
      <c r="AK41" s="10">
        <v>14659</v>
      </c>
      <c r="AL41" s="10">
        <v>14792</v>
      </c>
      <c r="AM41" s="10">
        <v>13288</v>
      </c>
      <c r="AN41" s="10"/>
      <c r="AO41" s="10"/>
      <c r="AP41" s="10"/>
      <c r="AQ41" s="10"/>
      <c r="AR41" s="10"/>
      <c r="AS41" s="10"/>
      <c r="AT41" s="10"/>
    </row>
    <row r="42" spans="1:46" ht="12.5" x14ac:dyDescent="0.25">
      <c r="A42" s="2">
        <v>7</v>
      </c>
      <c r="B42" s="2">
        <v>13354</v>
      </c>
      <c r="C42" s="10">
        <v>12484</v>
      </c>
      <c r="D42" s="10">
        <v>12708</v>
      </c>
      <c r="E42" s="10">
        <v>13874</v>
      </c>
      <c r="F42" s="10">
        <v>13525</v>
      </c>
      <c r="G42" s="10">
        <v>13480</v>
      </c>
      <c r="H42" s="10">
        <v>13523</v>
      </c>
      <c r="I42" s="10">
        <v>13891</v>
      </c>
      <c r="J42" s="10">
        <v>13983</v>
      </c>
      <c r="K42" s="10">
        <v>14054</v>
      </c>
      <c r="L42" s="10">
        <v>14321</v>
      </c>
      <c r="M42" s="10">
        <v>14558</v>
      </c>
      <c r="N42" s="10">
        <v>15013</v>
      </c>
      <c r="O42" s="10">
        <v>15189</v>
      </c>
      <c r="P42" s="10">
        <v>15025</v>
      </c>
      <c r="Q42" s="10">
        <v>15326</v>
      </c>
      <c r="R42" s="10">
        <v>15601</v>
      </c>
      <c r="S42" s="10">
        <v>15502</v>
      </c>
      <c r="T42" s="10">
        <v>15725</v>
      </c>
      <c r="U42" s="10">
        <v>15351</v>
      </c>
      <c r="V42" s="10">
        <v>15625</v>
      </c>
      <c r="W42" s="10">
        <v>15550</v>
      </c>
      <c r="X42" s="10">
        <v>16004</v>
      </c>
      <c r="Y42" s="10">
        <v>15943</v>
      </c>
      <c r="Z42" s="10">
        <v>16261</v>
      </c>
      <c r="AA42" s="10">
        <v>16313</v>
      </c>
      <c r="AB42" s="10">
        <v>16355</v>
      </c>
      <c r="AC42" s="10">
        <v>16588</v>
      </c>
      <c r="AD42" s="10">
        <v>16270</v>
      </c>
      <c r="AE42" s="10">
        <v>15965</v>
      </c>
      <c r="AF42" s="10">
        <v>16076</v>
      </c>
      <c r="AG42" s="10">
        <v>15997</v>
      </c>
      <c r="AH42" s="10">
        <v>15715</v>
      </c>
      <c r="AI42" s="10">
        <v>15126</v>
      </c>
      <c r="AJ42" s="10">
        <v>14797</v>
      </c>
      <c r="AK42" s="10">
        <v>15115</v>
      </c>
      <c r="AL42" s="10">
        <v>14691</v>
      </c>
      <c r="AM42" s="10">
        <v>14941</v>
      </c>
      <c r="AN42" s="10">
        <v>13413</v>
      </c>
      <c r="AO42" s="10"/>
      <c r="AP42" s="10"/>
      <c r="AQ42" s="10"/>
      <c r="AR42" s="10"/>
      <c r="AS42" s="10"/>
      <c r="AT42" s="10"/>
    </row>
    <row r="43" spans="1:46" ht="12.5" x14ac:dyDescent="0.25">
      <c r="A43" s="2">
        <v>6</v>
      </c>
      <c r="B43" s="2">
        <v>14051</v>
      </c>
      <c r="C43" s="10">
        <v>12867</v>
      </c>
      <c r="D43" s="10">
        <v>12995</v>
      </c>
      <c r="E43" s="10">
        <v>13473</v>
      </c>
      <c r="F43" s="10">
        <v>14763</v>
      </c>
      <c r="G43" s="10">
        <v>14383</v>
      </c>
      <c r="H43" s="10">
        <v>14493</v>
      </c>
      <c r="I43" s="10">
        <v>14472</v>
      </c>
      <c r="J43" s="10">
        <v>14611</v>
      </c>
      <c r="K43" s="10">
        <v>14801</v>
      </c>
      <c r="L43" s="10">
        <v>14795</v>
      </c>
      <c r="M43" s="10">
        <v>15235</v>
      </c>
      <c r="N43" s="10">
        <v>15373</v>
      </c>
      <c r="O43" s="10">
        <v>16052</v>
      </c>
      <c r="P43" s="10">
        <v>15934</v>
      </c>
      <c r="Q43" s="10">
        <v>15858</v>
      </c>
      <c r="R43" s="10">
        <v>16076</v>
      </c>
      <c r="S43" s="10">
        <v>16486</v>
      </c>
      <c r="T43" s="10">
        <v>16370</v>
      </c>
      <c r="U43" s="10">
        <v>16416</v>
      </c>
      <c r="V43" s="10">
        <v>16180</v>
      </c>
      <c r="W43" s="10">
        <v>16400</v>
      </c>
      <c r="X43" s="10">
        <v>16458</v>
      </c>
      <c r="Y43" s="10">
        <v>16529</v>
      </c>
      <c r="Z43" s="10">
        <v>16971</v>
      </c>
      <c r="AA43" s="10">
        <v>17336</v>
      </c>
      <c r="AB43" s="10">
        <v>17378</v>
      </c>
      <c r="AC43" s="10">
        <v>17408</v>
      </c>
      <c r="AD43" s="10">
        <v>17660</v>
      </c>
      <c r="AE43" s="10">
        <v>17270</v>
      </c>
      <c r="AF43" s="10">
        <v>17408</v>
      </c>
      <c r="AG43" s="10">
        <v>17501</v>
      </c>
      <c r="AH43" s="10">
        <v>17435</v>
      </c>
      <c r="AI43" s="10">
        <v>17097</v>
      </c>
      <c r="AJ43" s="10">
        <v>16879</v>
      </c>
      <c r="AK43" s="10">
        <v>16616</v>
      </c>
      <c r="AL43" s="10">
        <v>16471</v>
      </c>
      <c r="AM43" s="10">
        <v>16643</v>
      </c>
      <c r="AN43" s="10">
        <v>16757</v>
      </c>
      <c r="AO43" s="10">
        <v>14713</v>
      </c>
      <c r="AP43" s="10"/>
      <c r="AQ43" s="10"/>
      <c r="AR43" s="10"/>
      <c r="AS43" s="10"/>
      <c r="AT43" s="10"/>
    </row>
    <row r="44" spans="1:46" ht="12.5" x14ac:dyDescent="0.25">
      <c r="A44" s="2">
        <v>5</v>
      </c>
      <c r="B44" s="2">
        <v>17739</v>
      </c>
      <c r="C44" s="10">
        <v>16599</v>
      </c>
      <c r="D44" s="10">
        <v>16597</v>
      </c>
      <c r="E44" s="10">
        <v>17001</v>
      </c>
      <c r="F44" s="10">
        <v>17586</v>
      </c>
      <c r="G44" s="10">
        <v>19061</v>
      </c>
      <c r="H44" s="10">
        <v>18545</v>
      </c>
      <c r="I44" s="10">
        <v>18899</v>
      </c>
      <c r="J44" s="10">
        <v>18736</v>
      </c>
      <c r="K44" s="10">
        <v>18932</v>
      </c>
      <c r="L44" s="10">
        <v>18997</v>
      </c>
      <c r="M44" s="10">
        <v>19109</v>
      </c>
      <c r="N44" s="10">
        <v>19715</v>
      </c>
      <c r="O44" s="10">
        <v>19774</v>
      </c>
      <c r="P44" s="10">
        <v>20537</v>
      </c>
      <c r="Q44" s="10">
        <v>20666</v>
      </c>
      <c r="R44" s="10">
        <v>20632</v>
      </c>
      <c r="S44" s="10">
        <v>20585</v>
      </c>
      <c r="T44" s="10">
        <v>20506</v>
      </c>
      <c r="U44" s="10">
        <v>21049</v>
      </c>
      <c r="V44" s="10">
        <v>21340</v>
      </c>
      <c r="W44" s="10">
        <v>21246</v>
      </c>
      <c r="X44" s="10">
        <v>21107</v>
      </c>
      <c r="Y44" s="10">
        <v>21026</v>
      </c>
      <c r="Z44" s="10">
        <v>21393</v>
      </c>
      <c r="AA44" s="10">
        <v>21383</v>
      </c>
      <c r="AB44" s="10">
        <v>21506</v>
      </c>
      <c r="AC44" s="10">
        <v>21971</v>
      </c>
      <c r="AD44" s="10">
        <v>22215</v>
      </c>
      <c r="AE44" s="10">
        <v>21699</v>
      </c>
      <c r="AF44" s="10">
        <v>21625</v>
      </c>
      <c r="AG44" s="10">
        <v>21441</v>
      </c>
      <c r="AH44" s="10">
        <v>21747</v>
      </c>
      <c r="AI44" s="10">
        <v>21799</v>
      </c>
      <c r="AJ44" s="10">
        <v>21168</v>
      </c>
      <c r="AK44" s="10">
        <v>20905</v>
      </c>
      <c r="AL44" s="10">
        <v>20640</v>
      </c>
      <c r="AM44" s="10">
        <v>20171</v>
      </c>
      <c r="AN44" s="10">
        <v>20136</v>
      </c>
      <c r="AO44" s="10">
        <v>19918</v>
      </c>
      <c r="AP44" s="10">
        <v>18490</v>
      </c>
      <c r="AQ44" s="10"/>
      <c r="AR44" s="10"/>
      <c r="AS44" s="10"/>
      <c r="AT44" s="10"/>
    </row>
    <row r="45" spans="1:46" ht="12.5" x14ac:dyDescent="0.25">
      <c r="A45" s="2">
        <v>4</v>
      </c>
      <c r="B45" s="2">
        <v>18451</v>
      </c>
      <c r="C45" s="10">
        <v>17622</v>
      </c>
      <c r="D45" s="10">
        <v>17681</v>
      </c>
      <c r="E45" s="10">
        <v>17964</v>
      </c>
      <c r="F45" s="10">
        <v>18477</v>
      </c>
      <c r="G45" s="10">
        <v>18986</v>
      </c>
      <c r="H45" s="10">
        <v>20864</v>
      </c>
      <c r="I45" s="10">
        <v>20514</v>
      </c>
      <c r="J45" s="10">
        <v>20584</v>
      </c>
      <c r="K45" s="10">
        <v>20466</v>
      </c>
      <c r="L45" s="10">
        <v>20773</v>
      </c>
      <c r="M45" s="10">
        <v>20964</v>
      </c>
      <c r="N45" s="10">
        <v>21106</v>
      </c>
      <c r="O45" s="10">
        <v>21325</v>
      </c>
      <c r="P45" s="10">
        <v>21558</v>
      </c>
      <c r="Q45" s="10">
        <v>22162</v>
      </c>
      <c r="R45" s="10">
        <v>22132</v>
      </c>
      <c r="S45" s="10">
        <v>22072</v>
      </c>
      <c r="T45" s="10">
        <v>22022</v>
      </c>
      <c r="U45" s="10">
        <v>22220</v>
      </c>
      <c r="V45" s="10">
        <v>22827</v>
      </c>
      <c r="W45" s="10">
        <v>23025</v>
      </c>
      <c r="X45" s="10">
        <v>22610</v>
      </c>
      <c r="Y45" s="10">
        <v>22652</v>
      </c>
      <c r="Z45" s="10">
        <v>22586</v>
      </c>
      <c r="AA45" s="10">
        <v>22989</v>
      </c>
      <c r="AB45" s="10">
        <v>22731</v>
      </c>
      <c r="AC45" s="10">
        <v>22888</v>
      </c>
      <c r="AD45" s="10">
        <v>23021</v>
      </c>
      <c r="AE45" s="10">
        <v>23313</v>
      </c>
      <c r="AF45" s="10">
        <v>22878</v>
      </c>
      <c r="AG45" s="10">
        <v>22684</v>
      </c>
      <c r="AH45" s="10">
        <v>22436</v>
      </c>
      <c r="AI45" s="10">
        <v>22680</v>
      </c>
      <c r="AJ45" s="10">
        <v>22314</v>
      </c>
      <c r="AK45" s="10">
        <v>22225</v>
      </c>
      <c r="AL45" s="10">
        <v>22027</v>
      </c>
      <c r="AM45" s="10">
        <v>21496</v>
      </c>
      <c r="AN45" s="10">
        <v>21573</v>
      </c>
      <c r="AO45" s="10">
        <v>21151</v>
      </c>
      <c r="AP45" s="10">
        <v>20790</v>
      </c>
      <c r="AQ45" s="10">
        <v>18377</v>
      </c>
      <c r="AR45" s="10"/>
      <c r="AS45" s="10"/>
      <c r="AT45" s="10"/>
    </row>
    <row r="46" spans="1:46" ht="12.5" x14ac:dyDescent="0.25">
      <c r="A46" s="2">
        <v>3</v>
      </c>
      <c r="B46" s="2">
        <v>17045</v>
      </c>
      <c r="C46" s="10">
        <v>16141</v>
      </c>
      <c r="D46" s="10">
        <v>16305</v>
      </c>
      <c r="E46" s="10">
        <v>16634</v>
      </c>
      <c r="F46" s="10">
        <v>16946</v>
      </c>
      <c r="G46" s="10">
        <v>17434</v>
      </c>
      <c r="H46" s="10">
        <v>18193</v>
      </c>
      <c r="I46" s="10">
        <v>19842</v>
      </c>
      <c r="J46" s="10">
        <v>19202</v>
      </c>
      <c r="K46" s="10">
        <v>19541</v>
      </c>
      <c r="L46" s="10">
        <v>19175</v>
      </c>
      <c r="M46" s="10">
        <v>19662</v>
      </c>
      <c r="N46" s="10">
        <v>19633</v>
      </c>
      <c r="O46" s="10">
        <v>19721</v>
      </c>
      <c r="P46" s="10">
        <v>19936</v>
      </c>
      <c r="Q46" s="10">
        <v>20263</v>
      </c>
      <c r="R46" s="10">
        <v>20715</v>
      </c>
      <c r="S46" s="10">
        <v>20652</v>
      </c>
      <c r="T46" s="10">
        <v>20402</v>
      </c>
      <c r="U46" s="10">
        <v>20620</v>
      </c>
      <c r="V46" s="10">
        <v>21190</v>
      </c>
      <c r="W46" s="10">
        <v>21271</v>
      </c>
      <c r="X46" s="10">
        <v>21203</v>
      </c>
      <c r="Y46" s="10">
        <v>21223</v>
      </c>
      <c r="Z46" s="10">
        <v>20791</v>
      </c>
      <c r="AA46" s="10">
        <v>20730</v>
      </c>
      <c r="AB46" s="10">
        <v>21188</v>
      </c>
      <c r="AC46" s="10">
        <v>21438</v>
      </c>
      <c r="AD46" s="10">
        <v>21692</v>
      </c>
      <c r="AE46" s="10">
        <v>21738</v>
      </c>
      <c r="AF46" s="10">
        <v>21928</v>
      </c>
      <c r="AG46" s="10">
        <v>21441</v>
      </c>
      <c r="AH46" s="10">
        <v>21166</v>
      </c>
      <c r="AI46" s="10">
        <v>20889</v>
      </c>
      <c r="AJ46" s="10">
        <v>20900</v>
      </c>
      <c r="AK46" s="10">
        <v>20723</v>
      </c>
      <c r="AL46" s="10">
        <v>20730</v>
      </c>
      <c r="AM46" s="10">
        <v>20800</v>
      </c>
      <c r="AN46" s="10">
        <v>20191</v>
      </c>
      <c r="AO46" s="10">
        <v>19835</v>
      </c>
      <c r="AP46" s="10">
        <v>19373</v>
      </c>
      <c r="AQ46" s="10">
        <v>19152</v>
      </c>
      <c r="AR46" s="10">
        <v>17198</v>
      </c>
      <c r="AS46" s="10"/>
      <c r="AT46" s="10"/>
    </row>
    <row r="47" spans="1:46" ht="12.5" x14ac:dyDescent="0.25">
      <c r="A47" s="2">
        <v>2</v>
      </c>
      <c r="B47" s="2">
        <v>15828</v>
      </c>
      <c r="C47" s="10">
        <v>14880</v>
      </c>
      <c r="D47" s="10">
        <v>14832</v>
      </c>
      <c r="E47" s="10">
        <v>15218</v>
      </c>
      <c r="F47" s="10">
        <v>15532</v>
      </c>
      <c r="G47" s="10">
        <v>15749</v>
      </c>
      <c r="H47" s="10">
        <v>16154</v>
      </c>
      <c r="I47" s="10">
        <v>16690</v>
      </c>
      <c r="J47" s="10">
        <v>18172</v>
      </c>
      <c r="K47" s="10">
        <v>17782</v>
      </c>
      <c r="L47" s="10">
        <v>18020</v>
      </c>
      <c r="M47" s="10">
        <v>17646</v>
      </c>
      <c r="N47" s="10">
        <v>17918</v>
      </c>
      <c r="O47" s="10">
        <v>17962</v>
      </c>
      <c r="P47" s="10">
        <v>18064</v>
      </c>
      <c r="Q47" s="10">
        <v>18597</v>
      </c>
      <c r="R47" s="10">
        <v>18691</v>
      </c>
      <c r="S47" s="10">
        <v>19108</v>
      </c>
      <c r="T47" s="10">
        <v>19229</v>
      </c>
      <c r="U47" s="10">
        <v>18983</v>
      </c>
      <c r="V47" s="10">
        <v>19350</v>
      </c>
      <c r="W47" s="10">
        <v>19594</v>
      </c>
      <c r="X47" s="10">
        <v>20064</v>
      </c>
      <c r="Y47" s="10">
        <v>20130</v>
      </c>
      <c r="Z47" s="10">
        <v>19723</v>
      </c>
      <c r="AA47" s="10">
        <v>19500</v>
      </c>
      <c r="AB47" s="10">
        <v>19707</v>
      </c>
      <c r="AC47" s="10">
        <v>20252</v>
      </c>
      <c r="AD47" s="10">
        <v>20466</v>
      </c>
      <c r="AE47" s="10">
        <v>20393</v>
      </c>
      <c r="AF47" s="10">
        <v>20429</v>
      </c>
      <c r="AG47" s="10">
        <v>20271</v>
      </c>
      <c r="AH47" s="10">
        <v>20260</v>
      </c>
      <c r="AI47" s="10">
        <v>20255</v>
      </c>
      <c r="AJ47" s="10">
        <v>19913</v>
      </c>
      <c r="AK47" s="10">
        <v>20046</v>
      </c>
      <c r="AL47" s="10">
        <v>20178</v>
      </c>
      <c r="AM47" s="10">
        <v>19906</v>
      </c>
      <c r="AN47" s="10">
        <v>19740</v>
      </c>
      <c r="AO47" s="10">
        <v>19317</v>
      </c>
      <c r="AP47" s="10">
        <v>19379</v>
      </c>
      <c r="AQ47" s="10">
        <v>18830</v>
      </c>
      <c r="AR47" s="10">
        <v>18735</v>
      </c>
      <c r="AS47" s="10">
        <v>16923</v>
      </c>
      <c r="AT47" s="10"/>
    </row>
    <row r="48" spans="1:46" ht="12.5" x14ac:dyDescent="0.25">
      <c r="A48" s="2">
        <v>1</v>
      </c>
      <c r="B48" s="2">
        <v>18371</v>
      </c>
      <c r="C48" s="10">
        <v>17922</v>
      </c>
      <c r="D48" s="10">
        <v>18370</v>
      </c>
      <c r="E48" s="10">
        <v>18617</v>
      </c>
      <c r="F48" s="10">
        <v>19159</v>
      </c>
      <c r="G48" s="10">
        <v>19535</v>
      </c>
      <c r="H48" s="10">
        <v>20001</v>
      </c>
      <c r="I48" s="10">
        <v>20487</v>
      </c>
      <c r="J48" s="10">
        <v>21125</v>
      </c>
      <c r="K48" s="10">
        <v>22969</v>
      </c>
      <c r="L48" s="10">
        <v>22331</v>
      </c>
      <c r="M48" s="10">
        <v>22591</v>
      </c>
      <c r="N48" s="10">
        <v>22173</v>
      </c>
      <c r="O48" s="10">
        <v>22580</v>
      </c>
      <c r="P48" s="10">
        <v>22728</v>
      </c>
      <c r="Q48" s="10">
        <v>22676</v>
      </c>
      <c r="R48" s="10">
        <v>22786</v>
      </c>
      <c r="S48" s="10">
        <v>23179</v>
      </c>
      <c r="T48" s="10">
        <v>23717</v>
      </c>
      <c r="U48" s="10">
        <v>23847</v>
      </c>
      <c r="V48" s="10">
        <v>23874</v>
      </c>
      <c r="W48" s="10">
        <v>24161</v>
      </c>
      <c r="X48" s="10">
        <v>24038</v>
      </c>
      <c r="Y48" s="10">
        <v>24227</v>
      </c>
      <c r="Z48" s="10">
        <v>24185</v>
      </c>
      <c r="AA48" s="10">
        <v>23332</v>
      </c>
      <c r="AB48" s="10">
        <v>23550</v>
      </c>
      <c r="AC48" s="10">
        <v>23244</v>
      </c>
      <c r="AD48" s="10">
        <v>23631</v>
      </c>
      <c r="AE48" s="10">
        <v>23673</v>
      </c>
      <c r="AF48" s="10">
        <v>23379</v>
      </c>
      <c r="AG48" s="10">
        <v>23456</v>
      </c>
      <c r="AH48" s="10">
        <v>23385</v>
      </c>
      <c r="AI48" s="10">
        <v>23051</v>
      </c>
      <c r="AJ48" s="10">
        <v>22654</v>
      </c>
      <c r="AK48" s="10">
        <v>22507</v>
      </c>
      <c r="AL48" s="10">
        <v>22939</v>
      </c>
      <c r="AM48" s="10">
        <v>23214</v>
      </c>
      <c r="AN48" s="10">
        <v>22944</v>
      </c>
      <c r="AO48" s="10">
        <v>21960</v>
      </c>
      <c r="AP48" s="10">
        <v>21470</v>
      </c>
      <c r="AQ48" s="10">
        <v>21324</v>
      </c>
      <c r="AR48" s="10">
        <v>21082</v>
      </c>
      <c r="AS48" s="10">
        <v>21245</v>
      </c>
      <c r="AT48" s="10">
        <v>19010</v>
      </c>
    </row>
    <row r="49" spans="1:46" ht="12.5" x14ac:dyDescent="0.25">
      <c r="A49" s="2"/>
      <c r="B49" s="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1:46" ht="12.5" x14ac:dyDescent="0.25">
      <c r="A50" s="2"/>
      <c r="B50" s="2"/>
    </row>
    <row r="51" spans="1:46" ht="12.5" x14ac:dyDescent="0.25"/>
    <row r="52" spans="1:46" ht="12.5" x14ac:dyDescent="0.25"/>
    <row r="53" spans="1:46" ht="12.5" x14ac:dyDescent="0.25"/>
    <row r="54" spans="1:46" ht="12.5" x14ac:dyDescent="0.25"/>
    <row r="55" spans="1:46" ht="12.5" x14ac:dyDescent="0.25"/>
    <row r="56" spans="1:46" ht="12.5" x14ac:dyDescent="0.25"/>
    <row r="57" spans="1:46" ht="12.5" x14ac:dyDescent="0.25"/>
    <row r="58" spans="1:46" ht="12.5" x14ac:dyDescent="0.25"/>
    <row r="59" spans="1:46" ht="12.5" x14ac:dyDescent="0.25"/>
    <row r="60" spans="1:46" ht="12.5" x14ac:dyDescent="0.25"/>
    <row r="61" spans="1:46" ht="12.5" x14ac:dyDescent="0.25"/>
    <row r="62" spans="1:46" ht="12.5" x14ac:dyDescent="0.25"/>
    <row r="63" spans="1:46" ht="12.5" x14ac:dyDescent="0.25"/>
    <row r="64" spans="1:46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D26B-83E5-4B7F-99E0-D04153DBC9FE}">
  <dimension ref="A1:L59"/>
  <sheetViews>
    <sheetView tabSelected="1" workbookViewId="0">
      <selection activeCell="I13" sqref="I13"/>
    </sheetView>
  </sheetViews>
  <sheetFormatPr defaultRowHeight="12.5" x14ac:dyDescent="0.25"/>
  <cols>
    <col min="1" max="1" width="18" customWidth="1"/>
    <col min="2" max="2" width="18.26953125" customWidth="1"/>
    <col min="5" max="5" width="20" customWidth="1"/>
    <col min="6" max="6" width="19.453125" customWidth="1"/>
    <col min="8" max="8" width="8.08984375" customWidth="1"/>
    <col min="9" max="9" width="17" customWidth="1"/>
    <col min="10" max="10" width="16.6328125" customWidth="1"/>
    <col min="16" max="16" width="12.453125" customWidth="1"/>
    <col min="17" max="17" width="12.81640625" customWidth="1"/>
    <col min="19" max="19" width="9.90625" bestFit="1" customWidth="1"/>
  </cols>
  <sheetData>
    <row r="1" spans="1:12" x14ac:dyDescent="0.25">
      <c r="A1" s="18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2" x14ac:dyDescent="0.25">
      <c r="A2" s="18" t="s">
        <v>11</v>
      </c>
      <c r="B2" s="18"/>
      <c r="C2" s="18"/>
      <c r="D2" s="24"/>
      <c r="E2" s="18" t="s">
        <v>15</v>
      </c>
      <c r="F2" s="18"/>
      <c r="G2" s="18"/>
      <c r="I2" s="29" t="s">
        <v>18</v>
      </c>
      <c r="J2" s="29"/>
      <c r="K2" s="29"/>
      <c r="L2" s="28"/>
    </row>
    <row r="4" spans="1:12" ht="39" x14ac:dyDescent="0.25">
      <c r="A4" s="22" t="s">
        <v>12</v>
      </c>
      <c r="B4" s="22" t="s">
        <v>13</v>
      </c>
      <c r="E4" s="25" t="s">
        <v>16</v>
      </c>
      <c r="F4" s="26" t="s">
        <v>13</v>
      </c>
      <c r="I4" s="23" t="s">
        <v>19</v>
      </c>
      <c r="J4" s="27">
        <f>SUM('Emails sent'!C48:AT48)/'Emails sent'!B48</f>
        <v>678.19786620216644</v>
      </c>
    </row>
    <row r="5" spans="1:12" x14ac:dyDescent="0.25">
      <c r="A5" s="20">
        <f>SUM('Emails sent'!C5:N5)</f>
        <v>1227632</v>
      </c>
      <c r="B5" s="21">
        <f>A5/'Emails sent'!B5</f>
        <v>51.99186854141962</v>
      </c>
      <c r="E5" s="14">
        <f>SUM('Emails sent'!C5:Z5)</f>
        <v>1227632</v>
      </c>
      <c r="F5" s="13">
        <f>E5/'Emails sent'!B5</f>
        <v>51.99186854141962</v>
      </c>
    </row>
    <row r="6" spans="1:12" x14ac:dyDescent="0.25">
      <c r="A6" s="20">
        <f>SUM('Emails sent'!C6:N6)</f>
        <v>2438160</v>
      </c>
      <c r="B6" s="21">
        <f>A6/'Emails sent'!B6</f>
        <v>100.33167359367927</v>
      </c>
      <c r="E6" s="14">
        <f>SUM('Emails sent'!C6:Z6)</f>
        <v>2438160</v>
      </c>
      <c r="F6" s="13">
        <f>E6/'Emails sent'!B6</f>
        <v>100.33167359367927</v>
      </c>
    </row>
    <row r="7" spans="1:12" x14ac:dyDescent="0.25">
      <c r="A7" s="20">
        <f>SUM('Emails sent'!C7:N7)</f>
        <v>3425211</v>
      </c>
      <c r="B7" s="21">
        <f>A7/'Emails sent'!B7</f>
        <v>140.03315617334422</v>
      </c>
      <c r="E7" s="14">
        <f>SUM('Emails sent'!C7:Z7)</f>
        <v>3425211</v>
      </c>
      <c r="F7" s="13">
        <f>E7/'Emails sent'!B7</f>
        <v>140.03315617334422</v>
      </c>
    </row>
    <row r="8" spans="1:12" x14ac:dyDescent="0.25">
      <c r="A8" s="20">
        <f>SUM('Emails sent'!C8:N8)</f>
        <v>4265158</v>
      </c>
      <c r="B8" s="21">
        <f>A8/'Emails sent'!B8</f>
        <v>175.68719364007086</v>
      </c>
      <c r="E8" s="14">
        <f>SUM('Emails sent'!C8:Z8)</f>
        <v>4265158</v>
      </c>
      <c r="F8" s="13">
        <f>E8/'Emails sent'!B8</f>
        <v>175.68719364007086</v>
      </c>
    </row>
    <row r="9" spans="1:12" x14ac:dyDescent="0.25">
      <c r="A9" s="20">
        <f>SUM('Emails sent'!C9:N9)</f>
        <v>5268998</v>
      </c>
      <c r="B9" s="21">
        <f>A9/'Emails sent'!B9</f>
        <v>208.31842802356383</v>
      </c>
      <c r="E9" s="14">
        <f>SUM('Emails sent'!C9:Z9)</f>
        <v>5268998</v>
      </c>
      <c r="F9" s="13">
        <f>E9/'Emails sent'!B9</f>
        <v>208.31842802356383</v>
      </c>
    </row>
    <row r="10" spans="1:12" x14ac:dyDescent="0.25">
      <c r="A10" s="20">
        <f>SUM('Emails sent'!C10:N10)</f>
        <v>7375457</v>
      </c>
      <c r="B10" s="21">
        <f>A10/'Emails sent'!B10</f>
        <v>252.04897136217619</v>
      </c>
      <c r="E10" s="14">
        <f>SUM('Emails sent'!C10:Z10)</f>
        <v>7375457</v>
      </c>
      <c r="F10" s="13">
        <f>E10/'Emails sent'!B10</f>
        <v>252.04897136217619</v>
      </c>
    </row>
    <row r="11" spans="1:12" x14ac:dyDescent="0.25">
      <c r="A11" s="20">
        <f>SUM('Emails sent'!C11:N11)</f>
        <v>8173981</v>
      </c>
      <c r="B11" s="21">
        <f>A11/'Emails sent'!B11</f>
        <v>283.34654048807545</v>
      </c>
      <c r="E11" s="14">
        <f>SUM('Emails sent'!C11:Z11)</f>
        <v>8173981</v>
      </c>
      <c r="F11" s="13">
        <f>E11/'Emails sent'!B11</f>
        <v>283.34654048807545</v>
      </c>
    </row>
    <row r="12" spans="1:12" x14ac:dyDescent="0.25">
      <c r="A12" s="20">
        <f>SUM('Emails sent'!C12:N12)</f>
        <v>7182898</v>
      </c>
      <c r="B12" s="21">
        <f>A12/'Emails sent'!B12</f>
        <v>249.91816568664973</v>
      </c>
      <c r="E12" s="14">
        <f>SUM('Emails sent'!C12:Z12)</f>
        <v>7182898</v>
      </c>
      <c r="F12" s="13">
        <f>E12/'Emails sent'!B12</f>
        <v>249.91816568664973</v>
      </c>
    </row>
    <row r="13" spans="1:12" x14ac:dyDescent="0.25">
      <c r="A13" s="20">
        <f>SUM('Emails sent'!C13:N13)</f>
        <v>7109279</v>
      </c>
      <c r="B13" s="21">
        <f>A13/'Emails sent'!B13</f>
        <v>322.06573344205856</v>
      </c>
      <c r="E13" s="14">
        <f>SUM('Emails sent'!C13:Z13)</f>
        <v>7109279</v>
      </c>
      <c r="F13" s="13">
        <f>E13/'Emails sent'!B13</f>
        <v>322.06573344205856</v>
      </c>
    </row>
    <row r="14" spans="1:12" x14ac:dyDescent="0.25">
      <c r="A14" s="20">
        <f>SUM('Emails sent'!C14:N14)</f>
        <v>9554605</v>
      </c>
      <c r="B14" s="21">
        <f>A14/'Emails sent'!B14</f>
        <v>393.97183737423717</v>
      </c>
      <c r="E14" s="14">
        <f>SUM('Emails sent'!C14:Z14)</f>
        <v>9554605</v>
      </c>
      <c r="F14" s="13">
        <f>E14/'Emails sent'!B14</f>
        <v>393.97183737423717</v>
      </c>
    </row>
    <row r="15" spans="1:12" x14ac:dyDescent="0.25">
      <c r="A15" s="20">
        <f>SUM('Emails sent'!C15:N15)</f>
        <v>12777532</v>
      </c>
      <c r="B15" s="21">
        <f>A15/'Emails sent'!B15</f>
        <v>447.94152497808938</v>
      </c>
      <c r="E15" s="14">
        <f>SUM('Emails sent'!C15:Z15)</f>
        <v>12777532</v>
      </c>
      <c r="F15" s="13">
        <f>E15/'Emails sent'!B15</f>
        <v>447.94152497808938</v>
      </c>
    </row>
    <row r="16" spans="1:12" x14ac:dyDescent="0.25">
      <c r="A16" s="20">
        <f>SUM('Emails sent'!C16:N16)</f>
        <v>14916650</v>
      </c>
      <c r="B16" s="21">
        <f>A16/'Emails sent'!B16</f>
        <v>493.5855861817941</v>
      </c>
      <c r="E16" s="14">
        <f>SUM('Emails sent'!C16:Z16)</f>
        <v>14916650</v>
      </c>
      <c r="F16" s="13">
        <f>E16/'Emails sent'!B16</f>
        <v>493.5855861817941</v>
      </c>
    </row>
    <row r="17" spans="1:6" x14ac:dyDescent="0.25">
      <c r="A17" s="20">
        <f>SUM('Emails sent'!C17:N17)</f>
        <v>13077068</v>
      </c>
      <c r="B17" s="21">
        <f>A17/'Emails sent'!B17</f>
        <v>485.64890258847998</v>
      </c>
      <c r="E17" s="14">
        <f>SUM('Emails sent'!C17:Z17)</f>
        <v>13757774</v>
      </c>
      <c r="F17" s="13">
        <f>E17/'Emails sent'!B17</f>
        <v>510.92858469194488</v>
      </c>
    </row>
    <row r="18" spans="1:6" x14ac:dyDescent="0.25">
      <c r="A18" s="20">
        <f>SUM('Emails sent'!C18:N18)</f>
        <v>19242820</v>
      </c>
      <c r="B18" s="21">
        <f>A18/'Emails sent'!B18</f>
        <v>726.19895841195557</v>
      </c>
      <c r="E18" s="14">
        <f>SUM('Emails sent'!C18:Z18)</f>
        <v>21353806</v>
      </c>
      <c r="F18" s="13">
        <f>E18/'Emails sent'!B18</f>
        <v>805.86481998641409</v>
      </c>
    </row>
    <row r="19" spans="1:6" x14ac:dyDescent="0.25">
      <c r="A19" s="20">
        <f>SUM('Emails sent'!C19:N19)</f>
        <v>19954335</v>
      </c>
      <c r="B19" s="21">
        <f>A19/'Emails sent'!B19</f>
        <v>717.42054361113105</v>
      </c>
      <c r="E19" s="14">
        <f>SUM('Emails sent'!C19:Z19)</f>
        <v>23194514</v>
      </c>
      <c r="F19" s="13">
        <f>E19/'Emails sent'!B19</f>
        <v>833.91507873732655</v>
      </c>
    </row>
    <row r="20" spans="1:6" x14ac:dyDescent="0.25">
      <c r="A20" s="20">
        <f>SUM('Emails sent'!C20:N20)</f>
        <v>19936108</v>
      </c>
      <c r="B20" s="21">
        <f>A20/'Emails sent'!B20</f>
        <v>720.65167727009828</v>
      </c>
      <c r="E20" s="14">
        <f>SUM('Emails sent'!C20:Z20)</f>
        <v>24283567</v>
      </c>
      <c r="F20" s="13">
        <f>E20/'Emails sent'!B20</f>
        <v>877.80389676113361</v>
      </c>
    </row>
    <row r="21" spans="1:6" x14ac:dyDescent="0.25">
      <c r="A21" s="20">
        <f>SUM('Emails sent'!C21:N21)</f>
        <v>20027458</v>
      </c>
      <c r="B21" s="21">
        <f>A21/'Emails sent'!B21</f>
        <v>759.59409846013807</v>
      </c>
      <c r="E21" s="14">
        <f>SUM('Emails sent'!C21:Z21)</f>
        <v>25502216</v>
      </c>
      <c r="F21" s="13">
        <f>E21/'Emails sent'!B21</f>
        <v>967.23871652886294</v>
      </c>
    </row>
    <row r="22" spans="1:6" x14ac:dyDescent="0.25">
      <c r="A22" s="20">
        <f>SUM('Emails sent'!C22:N22)</f>
        <v>19415061</v>
      </c>
      <c r="B22" s="21">
        <f>A22/'Emails sent'!B22</f>
        <v>742.73377964804899</v>
      </c>
      <c r="E22" s="14">
        <f>SUM('Emails sent'!C22:Z22)</f>
        <v>25787174</v>
      </c>
      <c r="F22" s="13">
        <f>E22/'Emails sent'!B22</f>
        <v>986.50244835501144</v>
      </c>
    </row>
    <row r="23" spans="1:6" x14ac:dyDescent="0.25">
      <c r="A23" s="20">
        <f>SUM('Emails sent'!C23:N23)</f>
        <v>19224415</v>
      </c>
      <c r="B23" s="21">
        <f>A23/'Emails sent'!B23</f>
        <v>667.51440972222224</v>
      </c>
      <c r="E23" s="14">
        <f>SUM('Emails sent'!C23:Z23)</f>
        <v>26861504</v>
      </c>
      <c r="F23" s="13">
        <f>E23/'Emails sent'!B23</f>
        <v>932.69111111111113</v>
      </c>
    </row>
    <row r="24" spans="1:6" x14ac:dyDescent="0.25">
      <c r="A24" s="20">
        <f>SUM('Emails sent'!C24:N24)</f>
        <v>24065602</v>
      </c>
      <c r="B24" s="21">
        <f>A24/'Emails sent'!B24</f>
        <v>759.45474627619285</v>
      </c>
      <c r="E24" s="14">
        <f>SUM('Emails sent'!C24:Z24)</f>
        <v>34431511</v>
      </c>
      <c r="F24" s="13">
        <f>E24/'Emails sent'!B24</f>
        <v>1086.5788626609442</v>
      </c>
    </row>
    <row r="25" spans="1:6" x14ac:dyDescent="0.25">
      <c r="A25" s="20">
        <f>SUM('Emails sent'!C25:N25)</f>
        <v>23221875</v>
      </c>
      <c r="B25" s="21">
        <f>A25/'Emails sent'!B25</f>
        <v>765.64045499505437</v>
      </c>
      <c r="E25" s="14">
        <f>SUM('Emails sent'!C25:Z25)</f>
        <v>34156180</v>
      </c>
      <c r="F25" s="13">
        <f>E25/'Emails sent'!B25</f>
        <v>1126.1516650181338</v>
      </c>
    </row>
    <row r="26" spans="1:6" x14ac:dyDescent="0.25">
      <c r="A26" s="20">
        <f>SUM('Emails sent'!C26:N26)</f>
        <v>8757624</v>
      </c>
      <c r="B26" s="21">
        <f>A26/'Emails sent'!B26</f>
        <v>359.44935150221636</v>
      </c>
      <c r="E26" s="14">
        <f>SUM('Emails sent'!C26:Z26)</f>
        <v>13230553</v>
      </c>
      <c r="F26" s="13">
        <f>E26/'Emails sent'!B26</f>
        <v>543.03698079133142</v>
      </c>
    </row>
    <row r="27" spans="1:6" x14ac:dyDescent="0.25">
      <c r="A27" s="20">
        <f>SUM('Emails sent'!C27:N27)</f>
        <v>7613434</v>
      </c>
      <c r="B27" s="21">
        <f>A27/'Emails sent'!B27</f>
        <v>358.90416254183754</v>
      </c>
      <c r="E27" s="14">
        <f>SUM('Emails sent'!C27:Z27)</f>
        <v>11839772</v>
      </c>
      <c r="F27" s="13">
        <f>E27/'Emails sent'!B27</f>
        <v>558.13755715834634</v>
      </c>
    </row>
    <row r="28" spans="1:6" x14ac:dyDescent="0.25">
      <c r="A28" s="20">
        <f>SUM('Emails sent'!C28:N28)</f>
        <v>8805910</v>
      </c>
      <c r="B28" s="21">
        <f>A28/'Emails sent'!B28</f>
        <v>362.93574578576431</v>
      </c>
      <c r="E28" s="14">
        <f>SUM('Emails sent'!C28:Z28)</f>
        <v>14063527</v>
      </c>
      <c r="F28" s="13">
        <f>E28/'Emails sent'!B28</f>
        <v>579.6285290359807</v>
      </c>
    </row>
    <row r="29" spans="1:6" x14ac:dyDescent="0.25">
      <c r="A29" s="20">
        <f>SUM('Emails sent'!C29:N29)</f>
        <v>9490872</v>
      </c>
      <c r="B29" s="21">
        <f>A29/'Emails sent'!B29</f>
        <v>383.42310023027511</v>
      </c>
      <c r="E29" s="14">
        <f>SUM('Emails sent'!C29:Z29)</f>
        <v>15122326</v>
      </c>
      <c r="F29" s="13">
        <f>E29/'Emails sent'!B29</f>
        <v>610.92901870480341</v>
      </c>
    </row>
    <row r="30" spans="1:6" x14ac:dyDescent="0.25">
      <c r="A30" s="20">
        <f>SUM('Emails sent'!C30:N30)</f>
        <v>6744242</v>
      </c>
      <c r="B30" s="21">
        <f>A30/'Emails sent'!B30</f>
        <v>367.79418661722201</v>
      </c>
      <c r="E30" s="14">
        <f>SUM('Emails sent'!C30:Z30)</f>
        <v>10795333</v>
      </c>
      <c r="F30" s="13">
        <f>E30/'Emails sent'!B30</f>
        <v>588.71860173419861</v>
      </c>
    </row>
    <row r="31" spans="1:6" x14ac:dyDescent="0.25">
      <c r="A31" s="20">
        <f>SUM('Emails sent'!C31:N31)</f>
        <v>4812373</v>
      </c>
      <c r="B31" s="21">
        <f>A31/'Emails sent'!B31</f>
        <v>329.54687393001439</v>
      </c>
      <c r="E31" s="14">
        <f>SUM('Emails sent'!C31:Z31)</f>
        <v>7629871</v>
      </c>
      <c r="F31" s="13">
        <f>E31/'Emails sent'!B31</f>
        <v>522.48654386085047</v>
      </c>
    </row>
    <row r="32" spans="1:6" x14ac:dyDescent="0.25">
      <c r="A32" s="20">
        <f>SUM('Emails sent'!C32:N32)</f>
        <v>4803398</v>
      </c>
      <c r="B32" s="21">
        <f>A32/'Emails sent'!B32</f>
        <v>329.7904565739787</v>
      </c>
      <c r="E32" s="14">
        <f>SUM('Emails sent'!C32:Z32)</f>
        <v>7607429</v>
      </c>
      <c r="F32" s="13">
        <f>E32/'Emails sent'!B32</f>
        <v>522.30889117748029</v>
      </c>
    </row>
    <row r="33" spans="1:6" x14ac:dyDescent="0.25">
      <c r="A33" s="20">
        <f>SUM('Emails sent'!C33:N33)</f>
        <v>4836601</v>
      </c>
      <c r="B33" s="21">
        <f>A33/'Emails sent'!B33</f>
        <v>337.37451171875</v>
      </c>
      <c r="E33" s="14">
        <f>SUM('Emails sent'!C33:Z33)</f>
        <v>7674830</v>
      </c>
      <c r="F33" s="13">
        <f>E33/'Emails sent'!B33</f>
        <v>535.35365513392856</v>
      </c>
    </row>
    <row r="34" spans="1:6" x14ac:dyDescent="0.25">
      <c r="A34" s="20">
        <f>SUM('Emails sent'!C34:N34)</f>
        <v>13636696</v>
      </c>
      <c r="B34" s="21">
        <f>A34/'Emails sent'!B34</f>
        <v>487.58209382151028</v>
      </c>
      <c r="E34" s="14">
        <f>SUM('Emails sent'!C34:Z34)</f>
        <v>22343233</v>
      </c>
      <c r="F34" s="13">
        <f>E34/'Emails sent'!B34</f>
        <v>798.88561927917624</v>
      </c>
    </row>
    <row r="35" spans="1:6" x14ac:dyDescent="0.25">
      <c r="A35" s="20">
        <f>SUM('Emails sent'!C35:N35)</f>
        <v>5708473</v>
      </c>
      <c r="B35" s="21">
        <f>A35/'Emails sent'!B35</f>
        <v>398.8870798686325</v>
      </c>
      <c r="E35" s="14">
        <f>SUM('Emails sent'!C35:Z35)</f>
        <v>9164926</v>
      </c>
      <c r="F35" s="13">
        <f>E35/'Emails sent'!B35</f>
        <v>640.41129201313674</v>
      </c>
    </row>
    <row r="36" spans="1:6" x14ac:dyDescent="0.25">
      <c r="A36" s="20">
        <f>SUM('Emails sent'!C36:N36)</f>
        <v>4264346</v>
      </c>
      <c r="B36" s="21">
        <f>A36/'Emails sent'!B36</f>
        <v>368.66482233941383</v>
      </c>
      <c r="E36" s="14">
        <f>SUM('Emails sent'!C36:Z36)</f>
        <v>6813149</v>
      </c>
      <c r="F36" s="13">
        <f>E36/'Emails sent'!B36</f>
        <v>589.01608022823552</v>
      </c>
    </row>
    <row r="37" spans="1:6" x14ac:dyDescent="0.25">
      <c r="A37" s="20">
        <f>SUM('Emails sent'!C37:N37)</f>
        <v>4737700</v>
      </c>
      <c r="B37" s="21">
        <f>A37/'Emails sent'!B37</f>
        <v>329.87745439353853</v>
      </c>
      <c r="E37" s="14">
        <f>SUM('Emails sent'!C37:Z37)</f>
        <v>7787760</v>
      </c>
      <c r="F37" s="13">
        <f>E37/'Emails sent'!B37</f>
        <v>542.24759782760066</v>
      </c>
    </row>
    <row r="38" spans="1:6" x14ac:dyDescent="0.25">
      <c r="A38" s="20">
        <f>SUM('Emails sent'!C38:N38)</f>
        <v>5379258</v>
      </c>
      <c r="B38" s="21">
        <f>A38/'Emails sent'!B38</f>
        <v>287.52247581377947</v>
      </c>
      <c r="E38" s="14">
        <f>SUM('Emails sent'!C38:Z38)</f>
        <v>9064909</v>
      </c>
      <c r="F38" s="13">
        <f>E38/'Emails sent'!B38</f>
        <v>484.52129990913465</v>
      </c>
    </row>
    <row r="39" spans="1:6" x14ac:dyDescent="0.25">
      <c r="A39" s="20">
        <f>SUM('Emails sent'!C39:N39)</f>
        <v>5391655</v>
      </c>
      <c r="B39" s="21">
        <f>A39/'Emails sent'!B39</f>
        <v>245.67825571858197</v>
      </c>
      <c r="E39" s="14">
        <f>SUM('Emails sent'!C39:Z39)</f>
        <v>8826415</v>
      </c>
      <c r="F39" s="13">
        <f>E39/'Emails sent'!B39</f>
        <v>402.18787022692061</v>
      </c>
    </row>
    <row r="40" spans="1:6" x14ac:dyDescent="0.25">
      <c r="A40" s="20">
        <f>SUM('Emails sent'!C40:N40)</f>
        <v>3704546</v>
      </c>
      <c r="B40" s="21">
        <f>A40/'Emails sent'!B40</f>
        <v>274.37016738260996</v>
      </c>
      <c r="E40" s="14">
        <f>SUM('Emails sent'!C40:Z40)</f>
        <v>5983273</v>
      </c>
      <c r="F40" s="13">
        <f>E40/'Emails sent'!B40</f>
        <v>443.1397570730262</v>
      </c>
    </row>
    <row r="41" spans="1:6" x14ac:dyDescent="0.25">
      <c r="A41" s="20">
        <f>SUM('Emails sent'!C41:N41)</f>
        <v>3735971</v>
      </c>
      <c r="B41" s="21">
        <f>A41/'Emails sent'!B41</f>
        <v>285.14509235231264</v>
      </c>
      <c r="E41" s="14">
        <f>SUM('Emails sent'!C41:Z41)</f>
        <v>6051560</v>
      </c>
      <c r="F41" s="13">
        <f>E41/'Emails sent'!B41</f>
        <v>461.88062891161655</v>
      </c>
    </row>
    <row r="42" spans="1:6" x14ac:dyDescent="0.25">
      <c r="A42" s="20">
        <f>SUM('Emails sent'!C42:N42)</f>
        <v>3710854</v>
      </c>
      <c r="B42" s="21">
        <f>A42/'Emails sent'!B42</f>
        <v>277.88333083720232</v>
      </c>
      <c r="E42" s="14">
        <f>SUM('Emails sent'!C42:Z42)</f>
        <v>6010024</v>
      </c>
      <c r="F42" s="13">
        <f>E42/'Emails sent'!B42</f>
        <v>450.05421596525383</v>
      </c>
    </row>
    <row r="43" spans="1:6" x14ac:dyDescent="0.25">
      <c r="A43" s="20">
        <f>SUM('Emails sent'!C43:N43)</f>
        <v>3859615</v>
      </c>
      <c r="B43" s="21">
        <f>A43/'Emails sent'!B43</f>
        <v>274.68614333499397</v>
      </c>
      <c r="E43" s="14">
        <f>SUM('Emails sent'!C43:Z43)</f>
        <v>6266003</v>
      </c>
      <c r="F43" s="13">
        <f>E43/'Emails sent'!B43</f>
        <v>445.94712120133801</v>
      </c>
    </row>
    <row r="44" spans="1:6" x14ac:dyDescent="0.25">
      <c r="A44" s="20">
        <f>SUM('Emails sent'!C44:N44)</f>
        <v>4921740</v>
      </c>
      <c r="B44" s="21">
        <f>A44/'Emails sent'!B44</f>
        <v>277.45306950786403</v>
      </c>
      <c r="E44" s="14">
        <f>SUM('Emails sent'!C44:Z44)</f>
        <v>7992158</v>
      </c>
      <c r="F44" s="13">
        <f>E44/'Emails sent'!B44</f>
        <v>450.54163143356448</v>
      </c>
    </row>
    <row r="45" spans="1:6" x14ac:dyDescent="0.25">
      <c r="A45" s="20">
        <f>SUM('Emails sent'!C45:N45)</f>
        <v>5270447</v>
      </c>
      <c r="B45" s="21">
        <f>A45/'Emails sent'!B45</f>
        <v>285.64560186439758</v>
      </c>
      <c r="E45" s="14">
        <f>SUM('Emails sent'!C45:Z45)</f>
        <v>8553691</v>
      </c>
      <c r="F45" s="13">
        <f>E45/'Emails sent'!B45</f>
        <v>463.58956154137985</v>
      </c>
    </row>
    <row r="46" spans="1:6" x14ac:dyDescent="0.25">
      <c r="A46" s="20">
        <f>SUM('Emails sent'!C46:N46)</f>
        <v>4875575</v>
      </c>
      <c r="B46" s="21">
        <f>A46/'Emails sent'!B46</f>
        <v>286.04136110296275</v>
      </c>
      <c r="E46" s="14">
        <f>SUM('Emails sent'!C46:Z46)</f>
        <v>7922049</v>
      </c>
      <c r="F46" s="13">
        <f>E46/'Emails sent'!B46</f>
        <v>464.77260193605161</v>
      </c>
    </row>
    <row r="47" spans="1:6" x14ac:dyDescent="0.25">
      <c r="A47" s="20">
        <f>SUM('Emails sent'!C47:N47)</f>
        <v>4428363</v>
      </c>
      <c r="B47" s="21">
        <f>A47/'Emails sent'!B47</f>
        <v>279.7803260045489</v>
      </c>
      <c r="E47" s="14">
        <f>SUM('Emails sent'!C47:Z47)</f>
        <v>7242953</v>
      </c>
      <c r="F47" s="13">
        <f>E47/'Emails sent'!B47</f>
        <v>457.60380338640385</v>
      </c>
    </row>
    <row r="48" spans="1:6" x14ac:dyDescent="0.25">
      <c r="A48" s="20">
        <f>SUM('Emails sent'!C48:N48)</f>
        <v>5458635</v>
      </c>
      <c r="B48" s="21">
        <f>A48/'Emails sent'!B48</f>
        <v>297.13325349735999</v>
      </c>
      <c r="E48" s="14">
        <f>SUM('Emails sent'!C48:Z48)</f>
        <v>8920787</v>
      </c>
      <c r="F48" s="13">
        <f>E48/'Emails sent'!B48</f>
        <v>485.59071362473463</v>
      </c>
    </row>
    <row r="49" spans="1:6" x14ac:dyDescent="0.25">
      <c r="A49" s="14"/>
    </row>
    <row r="50" spans="1:6" ht="26" x14ac:dyDescent="0.25">
      <c r="A50" s="23" t="s">
        <v>14</v>
      </c>
      <c r="B50" s="27">
        <f>AVERAGE(B17:B48)</f>
        <v>432.20082774134659</v>
      </c>
      <c r="E50" s="23" t="s">
        <v>17</v>
      </c>
      <c r="F50" s="27">
        <f>AVERAGE(F30:F48)</f>
        <v>513.11881507705425</v>
      </c>
    </row>
    <row r="51" spans="1:6" x14ac:dyDescent="0.25">
      <c r="A51" s="14"/>
    </row>
    <row r="52" spans="1:6" x14ac:dyDescent="0.25">
      <c r="A52" s="14"/>
    </row>
    <row r="53" spans="1:6" x14ac:dyDescent="0.25">
      <c r="A53" s="14"/>
    </row>
    <row r="54" spans="1:6" x14ac:dyDescent="0.25">
      <c r="A54" s="14"/>
    </row>
    <row r="55" spans="1:6" x14ac:dyDescent="0.25">
      <c r="A55" s="14"/>
    </row>
    <row r="56" spans="1:6" x14ac:dyDescent="0.25">
      <c r="A56" s="14"/>
    </row>
    <row r="57" spans="1:6" x14ac:dyDescent="0.25">
      <c r="A57" s="14"/>
    </row>
    <row r="58" spans="1:6" x14ac:dyDescent="0.25">
      <c r="A58" s="14"/>
    </row>
    <row r="59" spans="1:6" x14ac:dyDescent="0.25">
      <c r="A59" s="14"/>
    </row>
  </sheetData>
  <mergeCells count="4">
    <mergeCell ref="A2:C2"/>
    <mergeCell ref="E2:G2"/>
    <mergeCell ref="I2:K2"/>
    <mergeCell ref="A1:K1"/>
  </mergeCells>
  <pageMargins left="0.7" right="0.7" top="0.75" bottom="0.75" header="0.3" footer="0.3"/>
  <ignoredErrors>
    <ignoredError sqref="A5:A48 E5:E48" formulaRange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A9E-0912-4C40-B0C9-3B7C8920B183}">
  <dimension ref="A1:P19"/>
  <sheetViews>
    <sheetView workbookViewId="0">
      <selection activeCell="G14" sqref="G14"/>
    </sheetView>
  </sheetViews>
  <sheetFormatPr defaultRowHeight="12.5" x14ac:dyDescent="0.25"/>
  <cols>
    <col min="1" max="1" width="35.453125" customWidth="1"/>
    <col min="7" max="7" width="34.6328125" customWidth="1"/>
    <col min="9" max="9" width="13" customWidth="1"/>
    <col min="10" max="10" width="14.08984375" customWidth="1"/>
    <col min="11" max="11" width="12.54296875" customWidth="1"/>
  </cols>
  <sheetData>
    <row r="1" spans="1:16" ht="39" x14ac:dyDescent="0.25">
      <c r="A1" s="30" t="s">
        <v>20</v>
      </c>
      <c r="B1" s="24"/>
      <c r="C1" s="35">
        <f>1+SUM('Users Retention Rate'!C52:AT52)</f>
        <v>12.867889782149051</v>
      </c>
      <c r="D1" s="24"/>
      <c r="F1" s="24"/>
      <c r="G1" s="30" t="s">
        <v>23</v>
      </c>
      <c r="I1" s="19" t="s">
        <v>25</v>
      </c>
      <c r="J1" s="19" t="s">
        <v>26</v>
      </c>
      <c r="K1" s="19" t="s">
        <v>27</v>
      </c>
    </row>
    <row r="2" spans="1:16" x14ac:dyDescent="0.25">
      <c r="A2" s="24"/>
      <c r="B2" s="24"/>
      <c r="C2" s="24"/>
      <c r="D2" s="24"/>
      <c r="E2" s="37"/>
      <c r="F2" s="24"/>
      <c r="G2" t="s">
        <v>24</v>
      </c>
      <c r="I2" s="14">
        <f>SUM('Emails clicks'!C29:AT32)</f>
        <v>1821933</v>
      </c>
      <c r="J2" s="14">
        <f>SUM('Emails sent'!C29:AT32)</f>
        <v>43142856</v>
      </c>
      <c r="K2" s="15">
        <f>I2/J2</f>
        <v>4.2230236218019503E-2</v>
      </c>
    </row>
    <row r="3" spans="1:16" x14ac:dyDescent="0.25">
      <c r="A3" s="24"/>
      <c r="B3" s="24"/>
      <c r="C3" s="24"/>
      <c r="D3" s="24"/>
      <c r="E3" s="37"/>
      <c r="F3" s="24"/>
      <c r="G3" t="s">
        <v>28</v>
      </c>
      <c r="I3" s="14">
        <f>SUM('Emails clicks'!C25:AT28)</f>
        <v>2884461</v>
      </c>
      <c r="J3" s="14">
        <f>SUM('Emails sent'!C25:AT28)</f>
        <v>73290032</v>
      </c>
      <c r="K3" s="15">
        <f>I3/J3</f>
        <v>3.935679820688303E-2</v>
      </c>
    </row>
    <row r="4" spans="1:16" x14ac:dyDescent="0.25">
      <c r="G4" t="s">
        <v>29</v>
      </c>
      <c r="I4" s="14">
        <f>SUM('Emails clicks'!C21:AT24)</f>
        <v>2021081</v>
      </c>
      <c r="J4" s="14">
        <f>SUM('Emails sent'!C21:AT24)</f>
        <v>112582405</v>
      </c>
      <c r="K4" s="15">
        <f>I4/J4</f>
        <v>1.7952014793075347E-2</v>
      </c>
    </row>
    <row r="5" spans="1:16" ht="50" x14ac:dyDescent="0.25">
      <c r="A5" s="31" t="s">
        <v>22</v>
      </c>
      <c r="C5" s="36">
        <f>results_1!J4*0.1</f>
        <v>67.819786620216647</v>
      </c>
      <c r="P5" s="11"/>
    </row>
    <row r="12" spans="1:16" x14ac:dyDescent="0.25">
      <c r="P12" s="11"/>
    </row>
    <row r="19" spans="16:16" x14ac:dyDescent="0.25">
      <c r="P19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Active users</vt:lpstr>
      <vt:lpstr>Users Retention Rate</vt:lpstr>
      <vt:lpstr>Emails sent</vt:lpstr>
      <vt:lpstr>Emails clicks</vt:lpstr>
      <vt:lpstr>results_1</vt:lpstr>
      <vt:lpstr>results_2-4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</cp:lastModifiedBy>
  <dcterms:modified xsi:type="dcterms:W3CDTF">2026-02-26T20:17:10Z</dcterms:modified>
</cp:coreProperties>
</file>